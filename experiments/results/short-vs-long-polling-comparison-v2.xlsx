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eryn\Downloads\"/>
    </mc:Choice>
  </mc:AlternateContent>
  <xr:revisionPtr revIDLastSave="0" documentId="8_{2FB94410-A688-457A-9ED4-32263026E7F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omparison Dashboard" sheetId="1" r:id="rId1"/>
    <sheet name="Request Breakdown" sheetId="2" r:id="rId2"/>
    <sheet name="Version Gaps" sheetId="3" r:id="rId3"/>
    <sheet name="All Run Data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H10" i="2"/>
  <c r="G10" i="2"/>
  <c r="F10" i="2"/>
  <c r="E10" i="2"/>
  <c r="D10" i="2"/>
  <c r="C10" i="2"/>
  <c r="H9" i="2"/>
  <c r="G9" i="2"/>
  <c r="F9" i="2"/>
  <c r="E9" i="2"/>
  <c r="D9" i="2"/>
  <c r="C9" i="2"/>
  <c r="H8" i="2"/>
  <c r="G8" i="2"/>
  <c r="F8" i="2"/>
  <c r="E8" i="2"/>
  <c r="D8" i="2"/>
  <c r="C8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  <c r="I9" i="1"/>
  <c r="H9" i="1"/>
  <c r="J9" i="1" s="1"/>
  <c r="F9" i="1"/>
  <c r="G9" i="1" s="1"/>
  <c r="E9" i="1"/>
  <c r="C9" i="1"/>
  <c r="D9" i="1" s="1"/>
  <c r="B9" i="1"/>
  <c r="I8" i="1"/>
  <c r="H8" i="1"/>
  <c r="J8" i="1" s="1"/>
  <c r="F8" i="1"/>
  <c r="G8" i="1" s="1"/>
  <c r="E8" i="1"/>
  <c r="C8" i="1"/>
  <c r="D8" i="1" s="1"/>
  <c r="B8" i="1"/>
  <c r="I7" i="1"/>
  <c r="H7" i="1"/>
  <c r="J7" i="1" s="1"/>
  <c r="F7" i="1"/>
  <c r="G7" i="1" s="1"/>
  <c r="E7" i="1"/>
  <c r="C7" i="1"/>
  <c r="D7" i="1" s="1"/>
  <c r="B7" i="1"/>
  <c r="I6" i="1"/>
  <c r="H6" i="1"/>
  <c r="J6" i="1" s="1"/>
  <c r="F6" i="1"/>
  <c r="G6" i="1" s="1"/>
  <c r="E6" i="1"/>
  <c r="C6" i="1"/>
  <c r="D6" i="1" s="1"/>
  <c r="B6" i="1"/>
  <c r="I5" i="1"/>
  <c r="H5" i="1"/>
  <c r="J5" i="1" s="1"/>
  <c r="F5" i="1"/>
  <c r="G5" i="1" s="1"/>
  <c r="E5" i="1"/>
  <c r="C5" i="1"/>
  <c r="D5" i="1" s="1"/>
  <c r="B5" i="1"/>
</calcChain>
</file>

<file path=xl/sharedStrings.xml><?xml version="1.0" encoding="utf-8"?>
<sst xmlns="http://schemas.openxmlformats.org/spreadsheetml/2006/main" count="384" uniqueCount="140">
  <si>
    <t>SHORT POLLING vs LONG POLLING COMPARISON</t>
  </si>
  <si>
    <t>Measured medians across 30 runs (3 repetitions × 5 conditions × 2 modes). Dynamic metrics calculated from 'All Run Data'.</t>
  </si>
  <si>
    <t>Condition</t>
  </si>
  <si>
    <t>Short requests</t>
  </si>
  <si>
    <t>Long requests</t>
  </si>
  <si>
    <t>Request change</t>
  </si>
  <si>
    <t>Short DB reads</t>
  </si>
  <si>
    <t>Long DB reads</t>
  </si>
  <si>
    <t>Read change</t>
  </si>
  <si>
    <t>Short detection (ms)</t>
  </si>
  <si>
    <t>Long detection (ms)</t>
  </si>
  <si>
    <t>Detection improvement</t>
  </si>
  <si>
    <t>A — Quiet job</t>
  </si>
  <si>
    <t>B — Brief job</t>
  </si>
  <si>
    <t>C1 — Slow updates</t>
  </si>
  <si>
    <t>C2 — Fast updates</t>
  </si>
  <si>
    <t>C3 — Fast updates, +200 ms latency</t>
  </si>
  <si>
    <t>KEY TAKEAWAY: Long polling detected completion significantly faster in every test condition (70%–99.7% detection improvement). It reduced traffic &amp; DB reads for quiet/slow workloads (Conditions A &amp; C1), but generated up to 7.3x more database reads and 3.9x more requests under rapid-update conditions (Conditions C2 &amp; C3).</t>
  </si>
  <si>
    <t>REQUEST OUTCOMES — SHORT vs LONG POLLING</t>
  </si>
  <si>
    <t>Median response and request-event counts per condition and mode, calculated dynamically from source data.</t>
  </si>
  <si>
    <t>Mode</t>
  </si>
  <si>
    <t>Initial 200</t>
  </si>
  <si>
    <t>Newer 200</t>
  </si>
  <si>
    <t>Unchanged 200</t>
  </si>
  <si>
    <t>204 No Content</t>
  </si>
  <si>
    <t>Retrieval errors</t>
  </si>
  <si>
    <t>Cancellations</t>
  </si>
  <si>
    <t>short</t>
  </si>
  <si>
    <t>long</t>
  </si>
  <si>
    <t>VERSION GAPS — INTERMEDIATE SNAPSHOTS NOT RECEIVED</t>
  </si>
  <si>
    <t>Committed observable versions between initial and terminal snapshots skipped by client. Final state remains authoritative.</t>
  </si>
  <si>
    <t>Condition description</t>
  </si>
  <si>
    <t>Short median gaps</t>
  </si>
  <si>
    <t>Long median gaps</t>
  </si>
  <si>
    <t>Short gap range</t>
  </si>
  <si>
    <t>Long gap range</t>
  </si>
  <si>
    <t>A</t>
  </si>
  <si>
    <t>B</t>
  </si>
  <si>
    <t>C1</t>
  </si>
  <si>
    <t>C2</t>
  </si>
  <si>
    <t>C3</t>
  </si>
  <si>
    <t>Run-Level Version Gaps (Source Rows with Skipped Versions)</t>
  </si>
  <si>
    <t>Repetition</t>
  </si>
  <si>
    <t>Job ID</t>
  </si>
  <si>
    <t>Skipped Version Count</t>
  </si>
  <si>
    <t>ec1fff49-0779-4a8b-b9e9-68c0a6f9327e</t>
  </si>
  <si>
    <t>a8f675ff-d56e-40c9-bf39-254c04c94dd1</t>
  </si>
  <si>
    <t>318fdd55-98d2-4050-90ba-3e91b1339fc2</t>
  </si>
  <si>
    <t>0287b0bf-866d-4b29-b84a-e9d5bd230c96</t>
  </si>
  <si>
    <t>826640ae-e335-431b-8e2a-dae7ee3c2208</t>
  </si>
  <si>
    <t>5b64c265-d65f-4111-8cc3-459b975cb041</t>
  </si>
  <si>
    <t>2c52f64c-b821-4e4f-a680-7b6371ddcefe</t>
  </si>
  <si>
    <t>8292f8ed-d3e1-4613-b905-650e68b60cb3</t>
  </si>
  <si>
    <t>24f05f52-7234-4258-9767-2b0cddf117a6</t>
  </si>
  <si>
    <t>e6fd278a-4c74-4635-a03f-41630e96faa7</t>
  </si>
  <si>
    <t>eeb9b09d-67fd-4994-8971-aea866b34586</t>
  </si>
  <si>
    <t>a5b7a0d3-0d8c-47f0-a5e4-0923f8fe1dbf</t>
  </si>
  <si>
    <t>5ffca700-0636-4acc-94eb-7c9c9524445a</t>
  </si>
  <si>
    <t>dd801e32-4268-49a5-a5c5-54bd310d4bcc</t>
  </si>
  <si>
    <t>259e7926-35ad-4af2-9f01-a5e3edda738d</t>
  </si>
  <si>
    <t>a5b46756-48b1-4d79-889a-fd3b7aa1ebdb</t>
  </si>
  <si>
    <t>894da8df-149c-468f-94de-18f477d1a597</t>
  </si>
  <si>
    <t>9d61c548-785d-4c4c-9411-979f8658c6e3</t>
  </si>
  <si>
    <t>090fbe3f-8544-4590-aa67-f2772950ba03</t>
  </si>
  <si>
    <t>5a3b5cc9-837d-40ea-a4b0-fb563f19706d</t>
  </si>
  <si>
    <t>0fcaa89e-f30e-4b4a-b249-efdba213bf3e</t>
  </si>
  <si>
    <t>ccc4b386-d9fa-4055-bb28-25848e006da3</t>
  </si>
  <si>
    <t>c72133b4-cbcf-408d-8cd7-1a939db9d37f</t>
  </si>
  <si>
    <t>76aa1a81-aab6-46ea-9162-e3d511091cf9</t>
  </si>
  <si>
    <t>cbb77445-a9f8-4797-98d2-f80bf75918d1</t>
  </si>
  <si>
    <t>821ee60f-c127-40da-bb72-991abbd1b6a2</t>
  </si>
  <si>
    <t>192c2d46-512e-487c-9d51-7fe726208a13</t>
  </si>
  <si>
    <t>68cc30a5-9c50-4df9-b0d5-af16e694662f</t>
  </si>
  <si>
    <t>93ebde86-8ca8-47a6-8b20-d0122c47be66</t>
  </si>
  <si>
    <t>fd19f378-75f6-4c5c-8d81-ee2d30670764</t>
  </si>
  <si>
    <t>run_id</t>
  </si>
  <si>
    <t>condition</t>
  </si>
  <si>
    <t>mode</t>
  </si>
  <si>
    <t>repetition</t>
  </si>
  <si>
    <t>job_id</t>
  </si>
  <si>
    <t>image</t>
  </si>
  <si>
    <t>latency_setting</t>
  </si>
  <si>
    <t>baseline_version</t>
  </si>
  <si>
    <t>terminal_version</t>
  </si>
  <si>
    <t>requests_started</t>
  </si>
  <si>
    <t>initial_200</t>
  </si>
  <si>
    <t>newer_200</t>
  </si>
  <si>
    <t>unchanged_200</t>
  </si>
  <si>
    <t>no_change_204</t>
  </si>
  <si>
    <t>retrieval_errors</t>
  </si>
  <si>
    <t>cancellations</t>
  </si>
  <si>
    <t>distinct_new_versions_seen</t>
  </si>
  <si>
    <t>processing_ms</t>
  </si>
  <si>
    <t>detection_ms</t>
  </si>
  <si>
    <t>notes</t>
  </si>
  <si>
    <t>observation_db_reads</t>
  </si>
  <si>
    <t>artificial_delay_ms</t>
  </si>
  <si>
    <t>real_processing_ms</t>
  </si>
  <si>
    <t>version_gap_count</t>
  </si>
  <si>
    <t>01629ec4-3635-4b08-8ef0-fc8af68b588e</t>
  </si>
  <si>
    <t>picture1.jpg</t>
  </si>
  <si>
    <t>Chrome custom profile, 200 ms latency, no bandwidth limit</t>
  </si>
  <si>
    <t>5 intermediate version(s) skipped</t>
  </si>
  <si>
    <t>06cb07de-78a2-4722-8bdc-e48eb70d600a</t>
  </si>
  <si>
    <t>4 intermediate version(s) skipped</t>
  </si>
  <si>
    <t>0ab9a916-4f2d-45be-aefb-f05b5a225698</t>
  </si>
  <si>
    <t>none</t>
  </si>
  <si>
    <t>168fe210-5471-49a3-8e9f-4019feca357e</t>
  </si>
  <si>
    <t>1958a209-40dd-40b9-8585-b565777708ab</t>
  </si>
  <si>
    <t>2 intermediate version(s) skipped</t>
  </si>
  <si>
    <t>200326d7-16da-4650-b043-c7c84a8c8be6</t>
  </si>
  <si>
    <t>42 intermediate version(s) skipped</t>
  </si>
  <si>
    <t>20061711-ac99-4283-9ef2-f17ebbf2bcca</t>
  </si>
  <si>
    <t>3ab87b43-b82c-434a-8ed8-e649219a2c7d</t>
  </si>
  <si>
    <t>3 intermediate version(s) skipped</t>
  </si>
  <si>
    <t>3bd7ae63-4544-476d-adfc-4012c68ae40b</t>
  </si>
  <si>
    <t>3c8f1fe9-8ae0-48e2-9ad4-a7a2d6db399c</t>
  </si>
  <si>
    <t>476b2785-0497-4263-b426-01ec85a58cb9</t>
  </si>
  <si>
    <t>527669d3-e342-481f-9e86-0c8c57225554</t>
  </si>
  <si>
    <t>43 intermediate version(s) skipped</t>
  </si>
  <si>
    <t>52f545cc-1ff1-4bdb-80ef-71bd56ee9c8f</t>
  </si>
  <si>
    <t>5ccad4f0-9333-432b-8bb4-b2493191f361</t>
  </si>
  <si>
    <t>1 intermediate version(s) skipped</t>
  </si>
  <si>
    <t>6451bead-5518-47a6-8cc1-e1d1d62efe0f</t>
  </si>
  <si>
    <t>6911c840-cc92-4d08-b8f4-d30337b068ee</t>
  </si>
  <si>
    <t>768a5652-29e6-401f-80a2-5d5982d1da9e</t>
  </si>
  <si>
    <t>89fc4c34-25bc-457a-a7a4-243922bd0600</t>
  </si>
  <si>
    <t>91013a06-1f57-46e0-9ca3-75e43db8d206</t>
  </si>
  <si>
    <t>91ea1cf3-4266-4f35-b8d9-04fce072138e</t>
  </si>
  <si>
    <t>94015154-b073-46c8-b0eb-56dcc8d487dd</t>
  </si>
  <si>
    <t>a6d16ffd-8ce6-4c84-8dea-5ff822fbdf49</t>
  </si>
  <si>
    <t>41 intermediate version(s) skipped</t>
  </si>
  <si>
    <t>c974dbf5-0d8b-4dd1-99be-830525946f4c</t>
  </si>
  <si>
    <t>cb8cef20-2a50-41e6-ba55-e08371da2065</t>
  </si>
  <si>
    <t>d2612352-ae5d-4ecf-9430-e45341a5da37</t>
  </si>
  <si>
    <t>e31ee812-fe4b-4b42-94d7-cf2e957fc7f9</t>
  </si>
  <si>
    <t>ee77cdc3-b5c5-4bbf-884a-6db036fa4df1</t>
  </si>
  <si>
    <t>eecc11a2-e495-4671-a996-8a61409c6ecd</t>
  </si>
  <si>
    <t>f3d75163-b9b6-412d-90d9-15ca67391b5e</t>
  </si>
  <si>
    <t>f8f2a804-02b8-4def-b461-987b29a94fdb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</si>
</sst>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.0%;\-0.0%;0.0%"/>
    <numFmt numFmtId="165" formatCode="#,##0&quot; ms&quot;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i/>
      <sz val="10"/>
      <color rgb="FF1B365D"/>
      <name val="Calibri"/>
    </font>
    <font>
      <b/>
      <sz val="12"/>
      <color rgb="FF1B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EBF3FB"/>
        <bgColor rgb="FFEBF3FB"/>
      </patternFill>
    </fill>
    <fill>
      <patternFill patternType="solid">
        <fgColor rgb="FF2C4D75"/>
        <bgColor rgb="FF2C4D7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6" fontId="4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BZ"/>
              <a:t>Detection Speed (ms) — Short vs Long Polling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'Comparison Dashboard'!$H$4</c:f>
              <c:strCache>
                <c:ptCount val="1"/>
                <c:pt idx="0">
                  <c:v>Short detection (ms)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'Comparison Dashboard'!$A$5:$A$9</c:f>
              <c:strCache>
                <c:ptCount val="5"/>
                <c:pt idx="0">
                  <c:v>A — Quiet job</c:v>
                </c:pt>
                <c:pt idx="1">
                  <c:v>B — Brief job</c:v>
                </c:pt>
                <c:pt idx="2">
                  <c:v>C1 — Slow updates</c:v>
                </c:pt>
                <c:pt idx="3">
                  <c:v>C2 — Fast updates</c:v>
                </c:pt>
                <c:pt idx="4">
                  <c:v>C3 — Fast updates, +200 ms latency</c:v>
                </c:pt>
              </c:strCache>
            </c:strRef>
          </c:cat>
          <c:val>
            <c:numRef>
              <c:f>'Comparison Dashboard'!$H$5:$H$9</c:f>
              <c:numCache>
                <c:formatCode>#,##0" ms"</c:formatCode>
                <c:ptCount val="5"/>
                <c:pt idx="0">
                  <c:v>123</c:v>
                </c:pt>
                <c:pt idx="1">
                  <c:v>632</c:v>
                </c:pt>
                <c:pt idx="2">
                  <c:v>802</c:v>
                </c:pt>
                <c:pt idx="3">
                  <c:v>789</c:v>
                </c:pt>
                <c:pt idx="4">
                  <c:v>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9-4E27-A926-2E97A36FF9A5}"/>
            </c:ext>
          </c:extLst>
        </c:ser>
        <c:ser>
          <c:idx val="1"/>
          <c:order val="1"/>
          <c:tx>
            <c:strRef>
              <c:f>'Comparison Dashboard'!$I$4</c:f>
              <c:strCache>
                <c:ptCount val="1"/>
                <c:pt idx="0">
                  <c:v>Long detection (ms)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'Comparison Dashboard'!$A$5:$A$9</c:f>
              <c:strCache>
                <c:ptCount val="5"/>
                <c:pt idx="0">
                  <c:v>A — Quiet job</c:v>
                </c:pt>
                <c:pt idx="1">
                  <c:v>B — Brief job</c:v>
                </c:pt>
                <c:pt idx="2">
                  <c:v>C1 — Slow updates</c:v>
                </c:pt>
                <c:pt idx="3">
                  <c:v>C2 — Fast updates</c:v>
                </c:pt>
                <c:pt idx="4">
                  <c:v>C3 — Fast updates, +200 ms latency</c:v>
                </c:pt>
              </c:strCache>
            </c:strRef>
          </c:cat>
          <c:val>
            <c:numRef>
              <c:f>'Comparison Dashboard'!$I$5:$I$9</c:f>
              <c:numCache>
                <c:formatCode>#,##0" ms"</c:formatCode>
                <c:ptCount val="5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9-4E27-A926-2E97A36FF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BZ"/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Z"/>
                  <a:t>Milliseconds (ms)</a:t>
                </a:r>
              </a:p>
            </c:rich>
          </c:tx>
          <c:overlay val="0"/>
        </c:title>
        <c:numFmt formatCode="#,##0&quot; ms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BZ"/>
              <a:t>Total Requests Started — Short vs Long Polling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'Comparison Dashboard'!$B$4</c:f>
              <c:strCache>
                <c:ptCount val="1"/>
                <c:pt idx="0">
                  <c:v>Short requests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'Comparison Dashboard'!$A$5:$A$9</c:f>
              <c:strCache>
                <c:ptCount val="5"/>
                <c:pt idx="0">
                  <c:v>A — Quiet job</c:v>
                </c:pt>
                <c:pt idx="1">
                  <c:v>B — Brief job</c:v>
                </c:pt>
                <c:pt idx="2">
                  <c:v>C1 — Slow updates</c:v>
                </c:pt>
                <c:pt idx="3">
                  <c:v>C2 — Fast updates</c:v>
                </c:pt>
                <c:pt idx="4">
                  <c:v>C3 — Fast updates, +200 ms latency</c:v>
                </c:pt>
              </c:strCache>
            </c:strRef>
          </c:cat>
          <c:val>
            <c:numRef>
              <c:f>'Comparison Dashboard'!$B$5:$B$9</c:f>
              <c:numCache>
                <c:formatCode>#,##0</c:formatCode>
                <c:ptCount val="5"/>
                <c:pt idx="0">
                  <c:v>31</c:v>
                </c:pt>
                <c:pt idx="1">
                  <c:v>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4-4007-990A-380D6ECEC652}"/>
            </c:ext>
          </c:extLst>
        </c:ser>
        <c:ser>
          <c:idx val="1"/>
          <c:order val="1"/>
          <c:tx>
            <c:strRef>
              <c:f>'Comparison Dashboard'!$C$4</c:f>
              <c:strCache>
                <c:ptCount val="1"/>
                <c:pt idx="0">
                  <c:v>Long requests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'Comparison Dashboard'!$A$5:$A$9</c:f>
              <c:strCache>
                <c:ptCount val="5"/>
                <c:pt idx="0">
                  <c:v>A — Quiet job</c:v>
                </c:pt>
                <c:pt idx="1">
                  <c:v>B — Brief job</c:v>
                </c:pt>
                <c:pt idx="2">
                  <c:v>C1 — Slow updates</c:v>
                </c:pt>
                <c:pt idx="3">
                  <c:v>C2 — Fast updates</c:v>
                </c:pt>
                <c:pt idx="4">
                  <c:v>C3 — Fast updates, +200 ms latency</c:v>
                </c:pt>
              </c:strCache>
            </c:strRef>
          </c:cat>
          <c:val>
            <c:numRef>
              <c:f>'Comparison Dashboard'!$C$5:$C$9</c:f>
              <c:numCache>
                <c:formatCode>#,##0</c:formatCode>
                <c:ptCount val="5"/>
                <c:pt idx="0">
                  <c:v>6</c:v>
                </c:pt>
                <c:pt idx="1">
                  <c:v>5</c:v>
                </c:pt>
                <c:pt idx="2">
                  <c:v>9</c:v>
                </c:pt>
                <c:pt idx="3">
                  <c:v>54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4-4007-990A-380D6ECEC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BZ"/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Z"/>
                  <a:t>Request Count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BZ"/>
              <a:t>Observation DB Reads — Short vs Long Polling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'Comparison Dashboard'!$E$4</c:f>
              <c:strCache>
                <c:ptCount val="1"/>
                <c:pt idx="0">
                  <c:v>Short DB reads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'Comparison Dashboard'!$A$5:$A$9</c:f>
              <c:strCache>
                <c:ptCount val="5"/>
                <c:pt idx="0">
                  <c:v>A — Quiet job</c:v>
                </c:pt>
                <c:pt idx="1">
                  <c:v>B — Brief job</c:v>
                </c:pt>
                <c:pt idx="2">
                  <c:v>C1 — Slow updates</c:v>
                </c:pt>
                <c:pt idx="3">
                  <c:v>C2 — Fast updates</c:v>
                </c:pt>
                <c:pt idx="4">
                  <c:v>C3 — Fast updates, +200 ms latency</c:v>
                </c:pt>
              </c:strCache>
            </c:strRef>
          </c:cat>
          <c:val>
            <c:numRef>
              <c:f>'Comparison Dashboard'!$E$5:$E$9</c:f>
              <c:numCache>
                <c:formatCode>#,##0</c:formatCode>
                <c:ptCount val="5"/>
                <c:pt idx="0">
                  <c:v>32</c:v>
                </c:pt>
                <c:pt idx="1">
                  <c:v>3</c:v>
                </c:pt>
                <c:pt idx="2">
                  <c:v>13</c:v>
                </c:pt>
                <c:pt idx="3">
                  <c:v>13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4-45A1-B27C-83BC801732D6}"/>
            </c:ext>
          </c:extLst>
        </c:ser>
        <c:ser>
          <c:idx val="1"/>
          <c:order val="1"/>
          <c:tx>
            <c:strRef>
              <c:f>'Comparison Dashboard'!$F$4</c:f>
              <c:strCache>
                <c:ptCount val="1"/>
                <c:pt idx="0">
                  <c:v>Long DB reads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'Comparison Dashboard'!$A$5:$A$9</c:f>
              <c:strCache>
                <c:ptCount val="5"/>
                <c:pt idx="0">
                  <c:v>A — Quiet job</c:v>
                </c:pt>
                <c:pt idx="1">
                  <c:v>B — Brief job</c:v>
                </c:pt>
                <c:pt idx="2">
                  <c:v>C1 — Slow updates</c:v>
                </c:pt>
                <c:pt idx="3">
                  <c:v>C2 — Fast updates</c:v>
                </c:pt>
                <c:pt idx="4">
                  <c:v>C3 — Fast updates, +200 ms latency</c:v>
                </c:pt>
              </c:strCache>
            </c:strRef>
          </c:cat>
          <c:val>
            <c:numRef>
              <c:f>'Comparison Dashboard'!$F$5:$F$9</c:f>
              <c:numCache>
                <c:formatCode>#,##0</c:formatCode>
                <c:ptCount val="5"/>
                <c:pt idx="0">
                  <c:v>12</c:v>
                </c:pt>
                <c:pt idx="1">
                  <c:v>10</c:v>
                </c:pt>
                <c:pt idx="2">
                  <c:v>18</c:v>
                </c:pt>
                <c:pt idx="3">
                  <c:v>108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4-45A1-B27C-83BC80173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BZ"/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Z"/>
                  <a:t>Database Reads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BZ"/>
              <a:t>Skipped Intermediate Snapshot Versions — Short vs Long Polling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'Version Gaps'!$C$4</c:f>
              <c:strCache>
                <c:ptCount val="1"/>
                <c:pt idx="0">
                  <c:v>Short median gaps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'Version Gaps'!$B$5:$B$9</c:f>
              <c:strCache>
                <c:ptCount val="5"/>
                <c:pt idx="0">
                  <c:v>A — Quiet job</c:v>
                </c:pt>
                <c:pt idx="1">
                  <c:v>B — Brief job</c:v>
                </c:pt>
                <c:pt idx="2">
                  <c:v>C1 — Slow updates</c:v>
                </c:pt>
                <c:pt idx="3">
                  <c:v>C2 — Fast updates</c:v>
                </c:pt>
                <c:pt idx="4">
                  <c:v>C3 — Fast updates, +200 ms latency</c:v>
                </c:pt>
              </c:strCache>
            </c:strRef>
          </c:cat>
          <c:val>
            <c:numRef>
              <c:f>'Version Gaps'!$C$5:$C$9</c:f>
              <c:numCache>
                <c:formatCode>#,##0</c:formatCode>
                <c:ptCount val="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42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D-4E0C-80F3-77EA849753A4}"/>
            </c:ext>
          </c:extLst>
        </c:ser>
        <c:ser>
          <c:idx val="1"/>
          <c:order val="1"/>
          <c:tx>
            <c:strRef>
              <c:f>'Version Gaps'!$D$4</c:f>
              <c:strCache>
                <c:ptCount val="1"/>
                <c:pt idx="0">
                  <c:v>Long median gaps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'Version Gaps'!$B$5:$B$9</c:f>
              <c:strCache>
                <c:ptCount val="5"/>
                <c:pt idx="0">
                  <c:v>A — Quiet job</c:v>
                </c:pt>
                <c:pt idx="1">
                  <c:v>B — Brief job</c:v>
                </c:pt>
                <c:pt idx="2">
                  <c:v>C1 — Slow updates</c:v>
                </c:pt>
                <c:pt idx="3">
                  <c:v>C2 — Fast updates</c:v>
                </c:pt>
                <c:pt idx="4">
                  <c:v>C3 — Fast updates, +200 ms latency</c:v>
                </c:pt>
              </c:strCache>
            </c:strRef>
          </c:cat>
          <c:val>
            <c:numRef>
              <c:f>'Version Gaps'!$D$5:$D$9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D-4E0C-80F3-77EA84975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BZ"/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Z"/>
                  <a:t>Skipped Versions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12</xdr:row>
      <xdr:rowOff>76200</xdr:rowOff>
    </xdr:from>
    <xdr:ext cx="57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704850</xdr:colOff>
      <xdr:row>12</xdr:row>
      <xdr:rowOff>82550</xdr:rowOff>
    </xdr:from>
    <xdr:ext cx="576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850900</xdr:colOff>
      <xdr:row>12</xdr:row>
      <xdr:rowOff>88900</xdr:rowOff>
    </xdr:from>
    <xdr:ext cx="57600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</xdr:colOff>
      <xdr:row>11</xdr:row>
      <xdr:rowOff>12700</xdr:rowOff>
    </xdr:from>
    <xdr:ext cx="57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K11" sqref="K11"/>
    </sheetView>
  </sheetViews>
  <sheetFormatPr defaultRowHeight="14.5" x14ac:dyDescent="0.35"/>
  <cols>
    <col min="1" max="1" width="36" customWidth="1"/>
    <col min="2" max="2" width="21.08984375" customWidth="1"/>
    <col min="3" max="3" width="15" customWidth="1"/>
    <col min="4" max="4" width="16" customWidth="1"/>
    <col min="5" max="5" width="17.36328125" customWidth="1"/>
    <col min="6" max="6" width="15.36328125" customWidth="1"/>
    <col min="7" max="7" width="16" customWidth="1"/>
    <col min="8" max="10" width="22" customWidth="1"/>
  </cols>
  <sheetData>
    <row r="1" spans="1:10" ht="21" x14ac:dyDescent="0.5">
      <c r="A1" s="1" t="s">
        <v>0</v>
      </c>
    </row>
    <row r="2" spans="1:10" x14ac:dyDescent="0.35">
      <c r="A2" s="2" t="s">
        <v>1</v>
      </c>
    </row>
    <row r="4" spans="1:10" ht="28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20" customHeight="1" x14ac:dyDescent="0.35">
      <c r="A5" s="4" t="s">
        <v>12</v>
      </c>
      <c r="B5" s="5">
        <f>MEDIAN(_xlfn._xlws.FILTER('All Run Data'!$J$2:$J$31, ('All Run Data'!$B$2:$B$31="A") * ('All Run Data'!$C$2:$C$31="short")))</f>
        <v>31</v>
      </c>
      <c r="C5" s="5">
        <f>MEDIAN(_xlfn._xlws.FILTER('All Run Data'!$J$2:$J$31, ('All Run Data'!$B$2:$B$31="A") * ('All Run Data'!$C$2:$C$31="long")))</f>
        <v>6</v>
      </c>
      <c r="D5" s="6">
        <f>(C5-B5)/B5</f>
        <v>-0.80645161290322576</v>
      </c>
      <c r="E5" s="5">
        <f>MEDIAN(_xlfn._xlws.FILTER('All Run Data'!$U$2:$U$31, ('All Run Data'!$B$2:$B$31="A") * ('All Run Data'!$C$2:$C$31="short")))</f>
        <v>32</v>
      </c>
      <c r="F5" s="5">
        <f>MEDIAN(_xlfn._xlws.FILTER('All Run Data'!$U$2:$U$31, ('All Run Data'!$B$2:$B$31="A") * ('All Run Data'!$C$2:$C$31="long")))</f>
        <v>12</v>
      </c>
      <c r="G5" s="6">
        <f>(F5-E5)/E5</f>
        <v>-0.625</v>
      </c>
      <c r="H5" s="7">
        <f>MEDIAN(_xlfn._xlws.FILTER('All Run Data'!$S$2:$S$31, ('All Run Data'!$B$2:$B$31="A") * ('All Run Data'!$C$2:$C$31="short")))</f>
        <v>123</v>
      </c>
      <c r="I5" s="7">
        <f>MEDIAN(_xlfn._xlws.FILTER('All Run Data'!$S$2:$S$31, ('All Run Data'!$B$2:$B$31="A") * ('All Run Data'!$C$2:$C$31="long")))</f>
        <v>5</v>
      </c>
      <c r="J5" s="8">
        <f>(H5-I5)/H5</f>
        <v>0.95934959349593496</v>
      </c>
    </row>
    <row r="6" spans="1:10" ht="20" customHeight="1" x14ac:dyDescent="0.35">
      <c r="A6" s="9" t="s">
        <v>13</v>
      </c>
      <c r="B6" s="10">
        <f>MEDIAN(_xlfn._xlws.FILTER('All Run Data'!$J$2:$J$31, ('All Run Data'!$B$2:$B$31="B") * ('All Run Data'!$C$2:$C$31="short")))</f>
        <v>2</v>
      </c>
      <c r="C6" s="10">
        <f>MEDIAN(_xlfn._xlws.FILTER('All Run Data'!$J$2:$J$31, ('All Run Data'!$B$2:$B$31="B") * ('All Run Data'!$C$2:$C$31="long")))</f>
        <v>5</v>
      </c>
      <c r="D6" s="11">
        <f>(C6-B6)/B6</f>
        <v>1.5</v>
      </c>
      <c r="E6" s="10">
        <f>MEDIAN(_xlfn._xlws.FILTER('All Run Data'!$U$2:$U$31, ('All Run Data'!$B$2:$B$31="B") * ('All Run Data'!$C$2:$C$31="short")))</f>
        <v>3</v>
      </c>
      <c r="F6" s="10">
        <f>MEDIAN(_xlfn._xlws.FILTER('All Run Data'!$U$2:$U$31, ('All Run Data'!$B$2:$B$31="B") * ('All Run Data'!$C$2:$C$31="long")))</f>
        <v>10</v>
      </c>
      <c r="G6" s="11">
        <f>(F6-E6)/E6</f>
        <v>2.3333333333333335</v>
      </c>
      <c r="H6" s="12">
        <f>MEDIAN(_xlfn._xlws.FILTER('All Run Data'!$S$2:$S$31, ('All Run Data'!$B$2:$B$31="B") * ('All Run Data'!$C$2:$C$31="short")))</f>
        <v>632</v>
      </c>
      <c r="I6" s="12">
        <f>MEDIAN(_xlfn._xlws.FILTER('All Run Data'!$S$2:$S$31, ('All Run Data'!$B$2:$B$31="B") * ('All Run Data'!$C$2:$C$31="long")))</f>
        <v>2</v>
      </c>
      <c r="J6" s="13">
        <f>(H6-I6)/H6</f>
        <v>0.99683544303797467</v>
      </c>
    </row>
    <row r="7" spans="1:10" ht="20" customHeight="1" x14ac:dyDescent="0.35">
      <c r="A7" s="4" t="s">
        <v>14</v>
      </c>
      <c r="B7" s="5">
        <f>MEDIAN(_xlfn._xlws.FILTER('All Run Data'!$J$2:$J$31, ('All Run Data'!$B$2:$B$31="C1") * ('All Run Data'!$C$2:$C$31="short")))</f>
        <v>12</v>
      </c>
      <c r="C7" s="5">
        <f>MEDIAN(_xlfn._xlws.FILTER('All Run Data'!$J$2:$J$31, ('All Run Data'!$B$2:$B$31="C1") * ('All Run Data'!$C$2:$C$31="long")))</f>
        <v>9</v>
      </c>
      <c r="D7" s="6">
        <f>(C7-B7)/B7</f>
        <v>-0.25</v>
      </c>
      <c r="E7" s="5">
        <f>MEDIAN(_xlfn._xlws.FILTER('All Run Data'!$U$2:$U$31, ('All Run Data'!$B$2:$B$31="C1") * ('All Run Data'!$C$2:$C$31="short")))</f>
        <v>13</v>
      </c>
      <c r="F7" s="5">
        <f>MEDIAN(_xlfn._xlws.FILTER('All Run Data'!$U$2:$U$31, ('All Run Data'!$B$2:$B$31="C1") * ('All Run Data'!$C$2:$C$31="long")))</f>
        <v>18</v>
      </c>
      <c r="G7" s="6">
        <f>(F7-E7)/E7</f>
        <v>0.38461538461538464</v>
      </c>
      <c r="H7" s="7">
        <f>MEDIAN(_xlfn._xlws.FILTER('All Run Data'!$S$2:$S$31, ('All Run Data'!$B$2:$B$31="C1") * ('All Run Data'!$C$2:$C$31="short")))</f>
        <v>802</v>
      </c>
      <c r="I7" s="7">
        <f>MEDIAN(_xlfn._xlws.FILTER('All Run Data'!$S$2:$S$31, ('All Run Data'!$B$2:$B$31="C1") * ('All Run Data'!$C$2:$C$31="long")))</f>
        <v>5</v>
      </c>
      <c r="J7" s="8">
        <f>(H7-I7)/H7</f>
        <v>0.99376558603491272</v>
      </c>
    </row>
    <row r="8" spans="1:10" ht="20" customHeight="1" x14ac:dyDescent="0.35">
      <c r="A8" s="9" t="s">
        <v>15</v>
      </c>
      <c r="B8" s="10">
        <f>MEDIAN(_xlfn._xlws.FILTER('All Run Data'!$J$2:$J$31, ('All Run Data'!$B$2:$B$31="C2") * ('All Run Data'!$C$2:$C$31="short")))</f>
        <v>12</v>
      </c>
      <c r="C8" s="10">
        <f>MEDIAN(_xlfn._xlws.FILTER('All Run Data'!$J$2:$J$31, ('All Run Data'!$B$2:$B$31="C2") * ('All Run Data'!$C$2:$C$31="long")))</f>
        <v>54</v>
      </c>
      <c r="D8" s="11">
        <f>(C8-B8)/B8</f>
        <v>3.5</v>
      </c>
      <c r="E8" s="10">
        <f>MEDIAN(_xlfn._xlws.FILTER('All Run Data'!$U$2:$U$31, ('All Run Data'!$B$2:$B$31="C2") * ('All Run Data'!$C$2:$C$31="short")))</f>
        <v>13</v>
      </c>
      <c r="F8" s="10">
        <f>MEDIAN(_xlfn._xlws.FILTER('All Run Data'!$U$2:$U$31, ('All Run Data'!$B$2:$B$31="C2") * ('All Run Data'!$C$2:$C$31="long")))</f>
        <v>108</v>
      </c>
      <c r="G8" s="11">
        <f>(F8-E8)/E8</f>
        <v>7.3076923076923075</v>
      </c>
      <c r="H8" s="12">
        <f>MEDIAN(_xlfn._xlws.FILTER('All Run Data'!$S$2:$S$31, ('All Run Data'!$B$2:$B$31="C2") * ('All Run Data'!$C$2:$C$31="short")))</f>
        <v>789</v>
      </c>
      <c r="I8" s="12">
        <f>MEDIAN(_xlfn._xlws.FILTER('All Run Data'!$S$2:$S$31, ('All Run Data'!$B$2:$B$31="C2") * ('All Run Data'!$C$2:$C$31="long")))</f>
        <v>3</v>
      </c>
      <c r="J8" s="13">
        <f>(H8-I8)/H8</f>
        <v>0.99619771863117867</v>
      </c>
    </row>
    <row r="9" spans="1:10" ht="20" customHeight="1" x14ac:dyDescent="0.35">
      <c r="A9" s="4" t="s">
        <v>16</v>
      </c>
      <c r="B9" s="5">
        <f>MEDIAN(_xlfn._xlws.FILTER('All Run Data'!$J$2:$J$31, ('All Run Data'!$B$2:$B$31="C3") * ('All Run Data'!$C$2:$C$31="short")))</f>
        <v>10</v>
      </c>
      <c r="C9" s="5">
        <f>MEDIAN(_xlfn._xlws.FILTER('All Run Data'!$J$2:$J$31, ('All Run Data'!$B$2:$B$31="C3") * ('All Run Data'!$C$2:$C$31="long")))</f>
        <v>49</v>
      </c>
      <c r="D9" s="6">
        <f>(C9-B9)/B9</f>
        <v>3.9</v>
      </c>
      <c r="E9" s="5">
        <f>MEDIAN(_xlfn._xlws.FILTER('All Run Data'!$U$2:$U$31, ('All Run Data'!$B$2:$B$31="C3") * ('All Run Data'!$C$2:$C$31="short")))</f>
        <v>11</v>
      </c>
      <c r="F9" s="5">
        <f>MEDIAN(_xlfn._xlws.FILTER('All Run Data'!$U$2:$U$31, ('All Run Data'!$B$2:$B$31="C3") * ('All Run Data'!$C$2:$C$31="long")))</f>
        <v>50</v>
      </c>
      <c r="G9" s="6">
        <f>(F9-E9)/E9</f>
        <v>3.5454545454545454</v>
      </c>
      <c r="H9" s="7">
        <f>MEDIAN(_xlfn._xlws.FILTER('All Run Data'!$S$2:$S$31, ('All Run Data'!$B$2:$B$31="C3") * ('All Run Data'!$C$2:$C$31="short")))</f>
        <v>1036</v>
      </c>
      <c r="I9" s="7">
        <f>MEDIAN(_xlfn._xlws.FILTER('All Run Data'!$S$2:$S$31, ('All Run Data'!$B$2:$B$31="C3") * ('All Run Data'!$C$2:$C$31="long")))</f>
        <v>309</v>
      </c>
      <c r="J9" s="8">
        <f>(H9-I9)/H9</f>
        <v>0.70173745173745172</v>
      </c>
    </row>
    <row r="11" spans="1:10" x14ac:dyDescent="0.35">
      <c r="A11" s="26" t="s">
        <v>17</v>
      </c>
      <c r="B11" s="27"/>
      <c r="C11" s="27"/>
      <c r="D11" s="27"/>
      <c r="E11" s="27"/>
      <c r="F11" s="27"/>
      <c r="G11" s="27"/>
      <c r="H11" s="27"/>
      <c r="I11" s="27"/>
      <c r="J11" s="27"/>
    </row>
    <row r="12" spans="1:10" x14ac:dyDescent="0.35">
      <c r="A12" s="27"/>
      <c r="B12" s="27"/>
      <c r="C12" s="27"/>
      <c r="D12" s="27"/>
      <c r="E12" s="27"/>
      <c r="F12" s="27"/>
      <c r="G12" s="27"/>
      <c r="H12" s="27"/>
      <c r="I12" s="27"/>
      <c r="J12" s="27"/>
    </row>
  </sheetData>
  <mergeCells count="1">
    <mergeCell ref="A11:J1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4.5" x14ac:dyDescent="0.35"/>
  <cols>
    <col min="1" max="1" width="36" customWidth="1"/>
    <col min="2" max="2" width="12" customWidth="1"/>
    <col min="3" max="3" width="15.81640625" customWidth="1"/>
    <col min="4" max="4" width="17.54296875" customWidth="1"/>
    <col min="5" max="5" width="14.81640625" customWidth="1"/>
    <col min="6" max="6" width="18.453125" customWidth="1"/>
    <col min="7" max="7" width="18.54296875" customWidth="1"/>
    <col min="8" max="8" width="16.81640625" customWidth="1"/>
  </cols>
  <sheetData>
    <row r="1" spans="1:8" ht="21" x14ac:dyDescent="0.5">
      <c r="A1" s="1" t="s">
        <v>18</v>
      </c>
    </row>
    <row r="2" spans="1:8" x14ac:dyDescent="0.35">
      <c r="A2" s="2" t="s">
        <v>19</v>
      </c>
    </row>
    <row r="4" spans="1:8" ht="25" customHeight="1" x14ac:dyDescent="0.35">
      <c r="A4" s="3" t="s">
        <v>2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1:8" ht="20" customHeight="1" x14ac:dyDescent="0.35">
      <c r="A5" s="14" t="s">
        <v>12</v>
      </c>
      <c r="B5" s="15" t="s">
        <v>27</v>
      </c>
      <c r="C5" s="5">
        <f>MEDIAN(_xlfn._xlws.FILTER('All Run Data'!$K$2:$K$31, ('All Run Data'!$B$2:$B$31="A") * ('All Run Data'!$C$2:$C$31="short")))</f>
        <v>1</v>
      </c>
      <c r="D5" s="5">
        <f>MEDIAN(_xlfn._xlws.FILTER('All Run Data'!$L$2:$L$31, ('All Run Data'!$B$2:$B$31="A") * ('All Run Data'!$C$2:$C$31="short")))</f>
        <v>2</v>
      </c>
      <c r="E5" s="5">
        <f>MEDIAN(_xlfn._xlws.FILTER('All Run Data'!$M$2:$M$31, ('All Run Data'!$B$2:$B$31="A") * ('All Run Data'!$C$2:$C$31="short")))</f>
        <v>28</v>
      </c>
      <c r="F5" s="5">
        <f>MEDIAN(_xlfn._xlws.FILTER('All Run Data'!$N$2:$N$31, ('All Run Data'!$B$2:$B$31="A") * ('All Run Data'!$C$2:$C$31="short")))</f>
        <v>0</v>
      </c>
      <c r="G5" s="5">
        <f>MEDIAN(_xlfn._xlws.FILTER('All Run Data'!$O$2:$O$31, ('All Run Data'!$B$2:$B$31="A") * ('All Run Data'!$C$2:$C$31="short")))</f>
        <v>0</v>
      </c>
      <c r="H5" s="5">
        <f>MEDIAN(_xlfn._xlws.FILTER('All Run Data'!$P$2:$P$31, ('All Run Data'!$B$2:$B$31="A") * ('All Run Data'!$C$2:$C$31="short")))</f>
        <v>0</v>
      </c>
    </row>
    <row r="6" spans="1:8" ht="20" customHeight="1" x14ac:dyDescent="0.35">
      <c r="A6" s="16" t="s">
        <v>12</v>
      </c>
      <c r="B6" s="17" t="s">
        <v>28</v>
      </c>
      <c r="C6" s="10">
        <f>MEDIAN(_xlfn._xlws.FILTER('All Run Data'!$K$2:$K$31, ('All Run Data'!$B$2:$B$31="A") * ('All Run Data'!$C$2:$C$31="long")))</f>
        <v>1</v>
      </c>
      <c r="D6" s="10">
        <f>MEDIAN(_xlfn._xlws.FILTER('All Run Data'!$L$2:$L$31, ('All Run Data'!$B$2:$B$31="A") * ('All Run Data'!$C$2:$C$31="long")))</f>
        <v>4</v>
      </c>
      <c r="E6" s="10">
        <f>MEDIAN(_xlfn._xlws.FILTER('All Run Data'!$M$2:$M$31, ('All Run Data'!$B$2:$B$31="A") * ('All Run Data'!$C$2:$C$31="long")))</f>
        <v>0</v>
      </c>
      <c r="F6" s="10">
        <f>MEDIAN(_xlfn._xlws.FILTER('All Run Data'!$N$2:$N$31, ('All Run Data'!$B$2:$B$31="A") * ('All Run Data'!$C$2:$C$31="long")))</f>
        <v>1</v>
      </c>
      <c r="G6" s="10">
        <f>MEDIAN(_xlfn._xlws.FILTER('All Run Data'!$O$2:$O$31, ('All Run Data'!$B$2:$B$31="A") * ('All Run Data'!$C$2:$C$31="long")))</f>
        <v>0</v>
      </c>
      <c r="H6" s="10">
        <f>MEDIAN(_xlfn._xlws.FILTER('All Run Data'!$P$2:$P$31, ('All Run Data'!$B$2:$B$31="A") * ('All Run Data'!$C$2:$C$31="long")))</f>
        <v>0</v>
      </c>
    </row>
    <row r="7" spans="1:8" ht="20" customHeight="1" x14ac:dyDescent="0.35">
      <c r="A7" s="14" t="s">
        <v>13</v>
      </c>
      <c r="B7" s="15" t="s">
        <v>27</v>
      </c>
      <c r="C7" s="5">
        <f>MEDIAN(_xlfn._xlws.FILTER('All Run Data'!$K$2:$K$31, ('All Run Data'!$B$2:$B$31="B") * ('All Run Data'!$C$2:$C$31="short")))</f>
        <v>1</v>
      </c>
      <c r="D7" s="5">
        <f>MEDIAN(_xlfn._xlws.FILTER('All Run Data'!$L$2:$L$31, ('All Run Data'!$B$2:$B$31="B") * ('All Run Data'!$C$2:$C$31="short")))</f>
        <v>1</v>
      </c>
      <c r="E7" s="5">
        <f>MEDIAN(_xlfn._xlws.FILTER('All Run Data'!$M$2:$M$31, ('All Run Data'!$B$2:$B$31="B") * ('All Run Data'!$C$2:$C$31="short")))</f>
        <v>0</v>
      </c>
      <c r="F7" s="5">
        <f>MEDIAN(_xlfn._xlws.FILTER('All Run Data'!$N$2:$N$31, ('All Run Data'!$B$2:$B$31="B") * ('All Run Data'!$C$2:$C$31="short")))</f>
        <v>0</v>
      </c>
      <c r="G7" s="5">
        <f>MEDIAN(_xlfn._xlws.FILTER('All Run Data'!$O$2:$O$31, ('All Run Data'!$B$2:$B$31="B") * ('All Run Data'!$C$2:$C$31="short")))</f>
        <v>0</v>
      </c>
      <c r="H7" s="5">
        <f>MEDIAN(_xlfn._xlws.FILTER('All Run Data'!$P$2:$P$31, ('All Run Data'!$B$2:$B$31="B") * ('All Run Data'!$C$2:$C$31="short")))</f>
        <v>0</v>
      </c>
    </row>
    <row r="8" spans="1:8" ht="20" customHeight="1" x14ac:dyDescent="0.35">
      <c r="A8" s="16" t="s">
        <v>13</v>
      </c>
      <c r="B8" s="17" t="s">
        <v>28</v>
      </c>
      <c r="C8" s="10">
        <f>MEDIAN(_xlfn._xlws.FILTER('All Run Data'!$K$2:$K$31, ('All Run Data'!$B$2:$B$31="B") * ('All Run Data'!$C$2:$C$31="long")))</f>
        <v>1</v>
      </c>
      <c r="D8" s="10">
        <f>MEDIAN(_xlfn._xlws.FILTER('All Run Data'!$L$2:$L$31, ('All Run Data'!$B$2:$B$31="B") * ('All Run Data'!$C$2:$C$31="long")))</f>
        <v>4</v>
      </c>
      <c r="E8" s="10">
        <f>MEDIAN(_xlfn._xlws.FILTER('All Run Data'!$M$2:$M$31, ('All Run Data'!$B$2:$B$31="B") * ('All Run Data'!$C$2:$C$31="long")))</f>
        <v>0</v>
      </c>
      <c r="F8" s="10">
        <f>MEDIAN(_xlfn._xlws.FILTER('All Run Data'!$N$2:$N$31, ('All Run Data'!$B$2:$B$31="B") * ('All Run Data'!$C$2:$C$31="long")))</f>
        <v>0</v>
      </c>
      <c r="G8" s="10">
        <f>MEDIAN(_xlfn._xlws.FILTER('All Run Data'!$O$2:$O$31, ('All Run Data'!$B$2:$B$31="B") * ('All Run Data'!$C$2:$C$31="long")))</f>
        <v>0</v>
      </c>
      <c r="H8" s="10">
        <f>MEDIAN(_xlfn._xlws.FILTER('All Run Data'!$P$2:$P$31, ('All Run Data'!$B$2:$B$31="B") * ('All Run Data'!$C$2:$C$31="long")))</f>
        <v>0</v>
      </c>
    </row>
    <row r="9" spans="1:8" ht="20" customHeight="1" x14ac:dyDescent="0.35">
      <c r="A9" s="14" t="s">
        <v>14</v>
      </c>
      <c r="B9" s="15" t="s">
        <v>27</v>
      </c>
      <c r="C9" s="5">
        <f>MEDIAN(_xlfn._xlws.FILTER('All Run Data'!$K$2:$K$31, ('All Run Data'!$B$2:$B$31="C1") * ('All Run Data'!$C$2:$C$31="short")))</f>
        <v>1</v>
      </c>
      <c r="D9" s="5">
        <f>MEDIAN(_xlfn._xlws.FILTER('All Run Data'!$L$2:$L$31, ('All Run Data'!$B$2:$B$31="C1") * ('All Run Data'!$C$2:$C$31="short")))</f>
        <v>7</v>
      </c>
      <c r="E9" s="5">
        <f>MEDIAN(_xlfn._xlws.FILTER('All Run Data'!$M$2:$M$31, ('All Run Data'!$B$2:$B$31="C1") * ('All Run Data'!$C$2:$C$31="short")))</f>
        <v>4</v>
      </c>
      <c r="F9" s="5">
        <f>MEDIAN(_xlfn._xlws.FILTER('All Run Data'!$N$2:$N$31, ('All Run Data'!$B$2:$B$31="C1") * ('All Run Data'!$C$2:$C$31="short")))</f>
        <v>0</v>
      </c>
      <c r="G9" s="5">
        <f>MEDIAN(_xlfn._xlws.FILTER('All Run Data'!$O$2:$O$31, ('All Run Data'!$B$2:$B$31="C1") * ('All Run Data'!$C$2:$C$31="short")))</f>
        <v>0</v>
      </c>
      <c r="H9" s="5">
        <f>MEDIAN(_xlfn._xlws.FILTER('All Run Data'!$P$2:$P$31, ('All Run Data'!$B$2:$B$31="C1") * ('All Run Data'!$C$2:$C$31="short")))</f>
        <v>0</v>
      </c>
    </row>
    <row r="10" spans="1:8" ht="20" customHeight="1" x14ac:dyDescent="0.35">
      <c r="A10" s="16" t="s">
        <v>14</v>
      </c>
      <c r="B10" s="17" t="s">
        <v>28</v>
      </c>
      <c r="C10" s="10">
        <f>MEDIAN(_xlfn._xlws.FILTER('All Run Data'!$K$2:$K$31, ('All Run Data'!$B$2:$B$31="C1") * ('All Run Data'!$C$2:$C$31="long")))</f>
        <v>1</v>
      </c>
      <c r="D10" s="10">
        <f>MEDIAN(_xlfn._xlws.FILTER('All Run Data'!$L$2:$L$31, ('All Run Data'!$B$2:$B$31="C1") * ('All Run Data'!$C$2:$C$31="long")))</f>
        <v>8</v>
      </c>
      <c r="E10" s="10">
        <f>MEDIAN(_xlfn._xlws.FILTER('All Run Data'!$M$2:$M$31, ('All Run Data'!$B$2:$B$31="C1") * ('All Run Data'!$C$2:$C$31="long")))</f>
        <v>0</v>
      </c>
      <c r="F10" s="10">
        <f>MEDIAN(_xlfn._xlws.FILTER('All Run Data'!$N$2:$N$31, ('All Run Data'!$B$2:$B$31="C1") * ('All Run Data'!$C$2:$C$31="long")))</f>
        <v>0</v>
      </c>
      <c r="G10" s="10">
        <f>MEDIAN(_xlfn._xlws.FILTER('All Run Data'!$O$2:$O$31, ('All Run Data'!$B$2:$B$31="C1") * ('All Run Data'!$C$2:$C$31="long")))</f>
        <v>0</v>
      </c>
      <c r="H10" s="10">
        <f>MEDIAN(_xlfn._xlws.FILTER('All Run Data'!$P$2:$P$31, ('All Run Data'!$B$2:$B$31="C1") * ('All Run Data'!$C$2:$C$31="long")))</f>
        <v>0</v>
      </c>
    </row>
    <row r="11" spans="1:8" ht="20" customHeight="1" x14ac:dyDescent="0.35">
      <c r="A11" s="14" t="s">
        <v>15</v>
      </c>
      <c r="B11" s="15" t="s">
        <v>27</v>
      </c>
      <c r="C11" s="5">
        <f>MEDIAN(_xlfn._xlws.FILTER('All Run Data'!$K$2:$K$31, ('All Run Data'!$B$2:$B$31="C2") * ('All Run Data'!$C$2:$C$31="short")))</f>
        <v>1</v>
      </c>
      <c r="D11" s="5">
        <f>MEDIAN(_xlfn._xlws.FILTER('All Run Data'!$L$2:$L$31, ('All Run Data'!$B$2:$B$31="C2") * ('All Run Data'!$C$2:$C$31="short")))</f>
        <v>11</v>
      </c>
      <c r="E11" s="5">
        <f>MEDIAN(_xlfn._xlws.FILTER('All Run Data'!$M$2:$M$31, ('All Run Data'!$B$2:$B$31="C2") * ('All Run Data'!$C$2:$C$31="short")))</f>
        <v>0</v>
      </c>
      <c r="F11" s="5">
        <f>MEDIAN(_xlfn._xlws.FILTER('All Run Data'!$N$2:$N$31, ('All Run Data'!$B$2:$B$31="C2") * ('All Run Data'!$C$2:$C$31="short")))</f>
        <v>0</v>
      </c>
      <c r="G11" s="5">
        <f>MEDIAN(_xlfn._xlws.FILTER('All Run Data'!$O$2:$O$31, ('All Run Data'!$B$2:$B$31="C2") * ('All Run Data'!$C$2:$C$31="short")))</f>
        <v>0</v>
      </c>
      <c r="H11" s="5">
        <f>MEDIAN(_xlfn._xlws.FILTER('All Run Data'!$P$2:$P$31, ('All Run Data'!$B$2:$B$31="C2") * ('All Run Data'!$C$2:$C$31="short")))</f>
        <v>0</v>
      </c>
    </row>
    <row r="12" spans="1:8" ht="20" customHeight="1" x14ac:dyDescent="0.35">
      <c r="A12" s="16" t="s">
        <v>15</v>
      </c>
      <c r="B12" s="17" t="s">
        <v>28</v>
      </c>
      <c r="C12" s="10">
        <f>MEDIAN(_xlfn._xlws.FILTER('All Run Data'!$K$2:$K$31, ('All Run Data'!$B$2:$B$31="C2") * ('All Run Data'!$C$2:$C$31="long")))</f>
        <v>1</v>
      </c>
      <c r="D12" s="10">
        <f>MEDIAN(_xlfn._xlws.FILTER('All Run Data'!$L$2:$L$31, ('All Run Data'!$B$2:$B$31="C2") * ('All Run Data'!$C$2:$C$31="long")))</f>
        <v>53</v>
      </c>
      <c r="E12" s="10">
        <f>MEDIAN(_xlfn._xlws.FILTER('All Run Data'!$M$2:$M$31, ('All Run Data'!$B$2:$B$31="C2") * ('All Run Data'!$C$2:$C$31="long")))</f>
        <v>0</v>
      </c>
      <c r="F12" s="10">
        <f>MEDIAN(_xlfn._xlws.FILTER('All Run Data'!$N$2:$N$31, ('All Run Data'!$B$2:$B$31="C2") * ('All Run Data'!$C$2:$C$31="long")))</f>
        <v>0</v>
      </c>
      <c r="G12" s="10">
        <f>MEDIAN(_xlfn._xlws.FILTER('All Run Data'!$O$2:$O$31, ('All Run Data'!$B$2:$B$31="C2") * ('All Run Data'!$C$2:$C$31="long")))</f>
        <v>0</v>
      </c>
      <c r="H12" s="10">
        <f>MEDIAN(_xlfn._xlws.FILTER('All Run Data'!$P$2:$P$31, ('All Run Data'!$B$2:$B$31="C2") * ('All Run Data'!$C$2:$C$31="long")))</f>
        <v>0</v>
      </c>
    </row>
    <row r="13" spans="1:8" ht="20" customHeight="1" x14ac:dyDescent="0.35">
      <c r="A13" s="14" t="s">
        <v>16</v>
      </c>
      <c r="B13" s="15" t="s">
        <v>27</v>
      </c>
      <c r="C13" s="5">
        <f>MEDIAN(_xlfn._xlws.FILTER('All Run Data'!$K$2:$K$31, ('All Run Data'!$B$2:$B$31="C3") * ('All Run Data'!$C$2:$C$31="short")))</f>
        <v>1</v>
      </c>
      <c r="D13" s="5">
        <f>MEDIAN(_xlfn._xlws.FILTER('All Run Data'!$L$2:$L$31, ('All Run Data'!$B$2:$B$31="C3") * ('All Run Data'!$C$2:$C$31="short")))</f>
        <v>9</v>
      </c>
      <c r="E13" s="5">
        <f>MEDIAN(_xlfn._xlws.FILTER('All Run Data'!$M$2:$M$31, ('All Run Data'!$B$2:$B$31="C3") * ('All Run Data'!$C$2:$C$31="short")))</f>
        <v>0</v>
      </c>
      <c r="F13" s="5">
        <f>MEDIAN(_xlfn._xlws.FILTER('All Run Data'!$N$2:$N$31, ('All Run Data'!$B$2:$B$31="C3") * ('All Run Data'!$C$2:$C$31="short")))</f>
        <v>0</v>
      </c>
      <c r="G13" s="5">
        <f>MEDIAN(_xlfn._xlws.FILTER('All Run Data'!$O$2:$O$31, ('All Run Data'!$B$2:$B$31="C3") * ('All Run Data'!$C$2:$C$31="short")))</f>
        <v>0</v>
      </c>
      <c r="H13" s="5">
        <f>MEDIAN(_xlfn._xlws.FILTER('All Run Data'!$P$2:$P$31, ('All Run Data'!$B$2:$B$31="C3") * ('All Run Data'!$C$2:$C$31="short")))</f>
        <v>0</v>
      </c>
    </row>
    <row r="14" spans="1:8" ht="20" customHeight="1" x14ac:dyDescent="0.35">
      <c r="A14" s="16" t="s">
        <v>16</v>
      </c>
      <c r="B14" s="17" t="s">
        <v>28</v>
      </c>
      <c r="C14" s="10">
        <f>MEDIAN(_xlfn._xlws.FILTER('All Run Data'!$K$2:$K$31, ('All Run Data'!$B$2:$B$31="C3") * ('All Run Data'!$C$2:$C$31="long")))</f>
        <v>1</v>
      </c>
      <c r="D14" s="10">
        <f>MEDIAN(_xlfn._xlws.FILTER('All Run Data'!$L$2:$L$31, ('All Run Data'!$B$2:$B$31="C3") * ('All Run Data'!$C$2:$C$31="long")))</f>
        <v>48</v>
      </c>
      <c r="E14" s="10">
        <f>MEDIAN(_xlfn._xlws.FILTER('All Run Data'!$M$2:$M$31, ('All Run Data'!$B$2:$B$31="C3") * ('All Run Data'!$C$2:$C$31="long")))</f>
        <v>0</v>
      </c>
      <c r="F14" s="10">
        <f>MEDIAN(_xlfn._xlws.FILTER('All Run Data'!$N$2:$N$31, ('All Run Data'!$B$2:$B$31="C3") * ('All Run Data'!$C$2:$C$31="long")))</f>
        <v>0</v>
      </c>
      <c r="G14" s="10">
        <f>MEDIAN(_xlfn._xlws.FILTER('All Run Data'!$O$2:$O$31, ('All Run Data'!$B$2:$B$31="C3") * ('All Run Data'!$C$2:$C$31="long")))</f>
        <v>0</v>
      </c>
      <c r="H14" s="10">
        <f>MEDIAN(_xlfn._xlws.FILTER('All Run Data'!$P$2:$P$31, ('All Run Data'!$B$2:$B$31="C3") * ('All Run Data'!$C$2:$C$31="long")))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>
      <selection activeCell="I4" sqref="I4"/>
    </sheetView>
  </sheetViews>
  <sheetFormatPr defaultRowHeight="14.5" x14ac:dyDescent="0.35"/>
  <cols>
    <col min="1" max="1" width="13" customWidth="1"/>
    <col min="2" max="2" width="28.36328125" customWidth="1"/>
    <col min="3" max="3" width="19.26953125" customWidth="1"/>
    <col min="4" max="4" width="40" customWidth="1"/>
    <col min="5" max="5" width="20.54296875" customWidth="1"/>
    <col min="6" max="6" width="19.1796875" customWidth="1"/>
  </cols>
  <sheetData>
    <row r="1" spans="1:6" ht="21" x14ac:dyDescent="0.5">
      <c r="A1" s="1" t="s">
        <v>29</v>
      </c>
    </row>
    <row r="2" spans="1:6" x14ac:dyDescent="0.35">
      <c r="A2" s="2" t="s">
        <v>30</v>
      </c>
    </row>
    <row r="4" spans="1:6" ht="25" customHeight="1" x14ac:dyDescent="0.35">
      <c r="A4" s="3" t="s">
        <v>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</row>
    <row r="5" spans="1:6" ht="20" customHeight="1" x14ac:dyDescent="0.35">
      <c r="A5" s="18" t="s">
        <v>36</v>
      </c>
      <c r="B5" s="14" t="s">
        <v>12</v>
      </c>
      <c r="C5" s="5">
        <f>MEDIAN(_xlfn._xlws.FILTER('All Run Data'!$X$2:$X$31, ('All Run Data'!$B$2:$B$31="A") * ('All Run Data'!$C$2:$C$31="short")))</f>
        <v>2</v>
      </c>
      <c r="D5" s="5">
        <f>MEDIAN(_xlfn._xlws.FILTER('All Run Data'!$X$2:$X$31, ('All Run Data'!$B$2:$B$31="A") * ('All Run Data'!$C$2:$C$31="long")))</f>
        <v>0</v>
      </c>
      <c r="E5" s="15" t="str">
        <f>MIN(_xlfn._xlws.FILTER('All Run Data'!$X$2:$X$31, ('All Run Data'!$B$2:$B$31="A") * ('All Run Data'!$C$2:$C$31="short"))) &amp; "–" &amp; MAX(_xlfn._xlws.FILTER('All Run Data'!$X$2:$X$31, ('All Run Data'!$B$2:$B$31="A") * ('All Run Data'!$C$2:$C$31="short")))</f>
        <v>2–2</v>
      </c>
      <c r="F5" s="15" t="str">
        <f>MIN(_xlfn._xlws.FILTER('All Run Data'!$X$2:$X$31, ('All Run Data'!$B$2:$B$31="A") * ('All Run Data'!$C$2:$C$31="long"))) &amp; "–" &amp; MAX(_xlfn._xlws.FILTER('All Run Data'!$X$2:$X$31, ('All Run Data'!$B$2:$B$31="A") * ('All Run Data'!$C$2:$C$31="long")))</f>
        <v>0–0</v>
      </c>
    </row>
    <row r="6" spans="1:6" ht="20" customHeight="1" x14ac:dyDescent="0.35">
      <c r="A6" s="19" t="s">
        <v>37</v>
      </c>
      <c r="B6" s="16" t="s">
        <v>13</v>
      </c>
      <c r="C6" s="10">
        <f>MEDIAN(_xlfn._xlws.FILTER('All Run Data'!$X$2:$X$31, ('All Run Data'!$B$2:$B$31="B") * ('All Run Data'!$C$2:$C$31="short")))</f>
        <v>3</v>
      </c>
      <c r="D6" s="10">
        <f>MEDIAN(_xlfn._xlws.FILTER('All Run Data'!$X$2:$X$31, ('All Run Data'!$B$2:$B$31="B") * ('All Run Data'!$C$2:$C$31="long")))</f>
        <v>0</v>
      </c>
      <c r="E6" s="17" t="str">
        <f>MIN(_xlfn._xlws.FILTER('All Run Data'!$X$2:$X$31, ('All Run Data'!$B$2:$B$31="B") * ('All Run Data'!$C$2:$C$31="short"))) &amp; "–" &amp; MAX(_xlfn._xlws.FILTER('All Run Data'!$X$2:$X$31, ('All Run Data'!$B$2:$B$31="B") * ('All Run Data'!$C$2:$C$31="short")))</f>
        <v>3–3</v>
      </c>
      <c r="F6" s="17" t="str">
        <f>MIN(_xlfn._xlws.FILTER('All Run Data'!$X$2:$X$31, ('All Run Data'!$B$2:$B$31="B") * ('All Run Data'!$C$2:$C$31="long"))) &amp; "–" &amp; MAX(_xlfn._xlws.FILTER('All Run Data'!$X$2:$X$31, ('All Run Data'!$B$2:$B$31="B") * ('All Run Data'!$C$2:$C$31="long")))</f>
        <v>0–0</v>
      </c>
    </row>
    <row r="7" spans="1:6" ht="20" customHeight="1" x14ac:dyDescent="0.35">
      <c r="A7" s="18" t="s">
        <v>38</v>
      </c>
      <c r="B7" s="14" t="s">
        <v>14</v>
      </c>
      <c r="C7" s="5">
        <f>MEDIAN(_xlfn._xlws.FILTER('All Run Data'!$X$2:$X$31, ('All Run Data'!$B$2:$B$31="C1") * ('All Run Data'!$C$2:$C$31="short")))</f>
        <v>1</v>
      </c>
      <c r="D7" s="5">
        <f>MEDIAN(_xlfn._xlws.FILTER('All Run Data'!$X$2:$X$31, ('All Run Data'!$B$2:$B$31="C1") * ('All Run Data'!$C$2:$C$31="long")))</f>
        <v>0</v>
      </c>
      <c r="E7" s="15" t="str">
        <f>MIN(_xlfn._xlws.FILTER('All Run Data'!$X$2:$X$31, ('All Run Data'!$B$2:$B$31="C1") * ('All Run Data'!$C$2:$C$31="short"))) &amp; "–" &amp; MAX(_xlfn._xlws.FILTER('All Run Data'!$X$2:$X$31, ('All Run Data'!$B$2:$B$31="C1") * ('All Run Data'!$C$2:$C$31="short")))</f>
        <v>1–2</v>
      </c>
      <c r="F7" s="15" t="str">
        <f>MIN(_xlfn._xlws.FILTER('All Run Data'!$X$2:$X$31, ('All Run Data'!$B$2:$B$31="C1") * ('All Run Data'!$C$2:$C$31="long"))) &amp; "–" &amp; MAX(_xlfn._xlws.FILTER('All Run Data'!$X$2:$X$31, ('All Run Data'!$B$2:$B$31="C1") * ('All Run Data'!$C$2:$C$31="long")))</f>
        <v>0–0</v>
      </c>
    </row>
    <row r="8" spans="1:6" ht="20" customHeight="1" x14ac:dyDescent="0.35">
      <c r="A8" s="19" t="s">
        <v>39</v>
      </c>
      <c r="B8" s="16" t="s">
        <v>15</v>
      </c>
      <c r="C8" s="10">
        <f>MEDIAN(_xlfn._xlws.FILTER('All Run Data'!$X$2:$X$31, ('All Run Data'!$B$2:$B$31="C2") * ('All Run Data'!$C$2:$C$31="short")))</f>
        <v>42</v>
      </c>
      <c r="D8" s="10">
        <f>MEDIAN(_xlfn._xlws.FILTER('All Run Data'!$X$2:$X$31, ('All Run Data'!$B$2:$B$31="C2") * ('All Run Data'!$C$2:$C$31="long")))</f>
        <v>0</v>
      </c>
      <c r="E8" s="17" t="str">
        <f>MIN(_xlfn._xlws.FILTER('All Run Data'!$X$2:$X$31, ('All Run Data'!$B$2:$B$31="C2") * ('All Run Data'!$C$2:$C$31="short"))) &amp; "–" &amp; MAX(_xlfn._xlws.FILTER('All Run Data'!$X$2:$X$31, ('All Run Data'!$B$2:$B$31="C2") * ('All Run Data'!$C$2:$C$31="short")))</f>
        <v>41–42</v>
      </c>
      <c r="F8" s="17" t="str">
        <f>MIN(_xlfn._xlws.FILTER('All Run Data'!$X$2:$X$31, ('All Run Data'!$B$2:$B$31="C2") * ('All Run Data'!$C$2:$C$31="long"))) &amp; "–" &amp; MAX(_xlfn._xlws.FILTER('All Run Data'!$X$2:$X$31, ('All Run Data'!$B$2:$B$31="C2") * ('All Run Data'!$C$2:$C$31="long")))</f>
        <v>0–0</v>
      </c>
    </row>
    <row r="9" spans="1:6" ht="20" customHeight="1" x14ac:dyDescent="0.35">
      <c r="A9" s="18" t="s">
        <v>40</v>
      </c>
      <c r="B9" s="14" t="s">
        <v>16</v>
      </c>
      <c r="C9" s="5">
        <f>MEDIAN(_xlfn._xlws.FILTER('All Run Data'!$X$2:$X$31, ('All Run Data'!$B$2:$B$31="C3") * ('All Run Data'!$C$2:$C$31="short")))</f>
        <v>43</v>
      </c>
      <c r="D9" s="5">
        <f>MEDIAN(_xlfn._xlws.FILTER('All Run Data'!$X$2:$X$31, ('All Run Data'!$B$2:$B$31="C3") * ('All Run Data'!$C$2:$C$31="long")))</f>
        <v>4</v>
      </c>
      <c r="E9" s="15" t="str">
        <f>MIN(_xlfn._xlws.FILTER('All Run Data'!$X$2:$X$31, ('All Run Data'!$B$2:$B$31="C3") * ('All Run Data'!$C$2:$C$31="short"))) &amp; "–" &amp; MAX(_xlfn._xlws.FILTER('All Run Data'!$X$2:$X$31, ('All Run Data'!$B$2:$B$31="C3") * ('All Run Data'!$C$2:$C$31="short")))</f>
        <v>43–43</v>
      </c>
      <c r="F9" s="15" t="str">
        <f>MIN(_xlfn._xlws.FILTER('All Run Data'!$X$2:$X$31, ('All Run Data'!$B$2:$B$31="C3") * ('All Run Data'!$C$2:$C$31="long"))) &amp; "–" &amp; MAX(_xlfn._xlws.FILTER('All Run Data'!$X$2:$X$31, ('All Run Data'!$B$2:$B$31="C3") * ('All Run Data'!$C$2:$C$31="long")))</f>
        <v>4–5</v>
      </c>
    </row>
    <row r="11" spans="1:6" ht="15.5" x14ac:dyDescent="0.35">
      <c r="A11" s="20" t="s">
        <v>41</v>
      </c>
    </row>
    <row r="12" spans="1:6" ht="22" customHeight="1" x14ac:dyDescent="0.35">
      <c r="A12" s="21" t="s">
        <v>2</v>
      </c>
      <c r="B12" s="21" t="s">
        <v>20</v>
      </c>
      <c r="C12" s="21" t="s">
        <v>42</v>
      </c>
      <c r="D12" s="21" t="s">
        <v>43</v>
      </c>
      <c r="E12" s="21" t="s">
        <v>44</v>
      </c>
    </row>
    <row r="13" spans="1:6" x14ac:dyDescent="0.35">
      <c r="A13" s="15" t="s">
        <v>40</v>
      </c>
      <c r="B13" s="15" t="s">
        <v>28</v>
      </c>
      <c r="C13" s="22">
        <v>3</v>
      </c>
      <c r="D13" s="23" t="s">
        <v>45</v>
      </c>
      <c r="E13" s="22">
        <v>5</v>
      </c>
    </row>
    <row r="14" spans="1:6" x14ac:dyDescent="0.35">
      <c r="A14" s="17" t="s">
        <v>40</v>
      </c>
      <c r="B14" s="17" t="s">
        <v>28</v>
      </c>
      <c r="C14" s="24">
        <v>2</v>
      </c>
      <c r="D14" s="25" t="s">
        <v>46</v>
      </c>
      <c r="E14" s="24">
        <v>4</v>
      </c>
    </row>
    <row r="15" spans="1:6" x14ac:dyDescent="0.35">
      <c r="A15" s="15" t="s">
        <v>39</v>
      </c>
      <c r="B15" s="15" t="s">
        <v>28</v>
      </c>
      <c r="C15" s="22">
        <v>1</v>
      </c>
      <c r="D15" s="23" t="s">
        <v>47</v>
      </c>
      <c r="E15" s="22">
        <v>0</v>
      </c>
    </row>
    <row r="16" spans="1:6" x14ac:dyDescent="0.35">
      <c r="A16" s="17" t="s">
        <v>36</v>
      </c>
      <c r="B16" s="17" t="s">
        <v>28</v>
      </c>
      <c r="C16" s="24">
        <v>3</v>
      </c>
      <c r="D16" s="25" t="s">
        <v>48</v>
      </c>
      <c r="E16" s="24">
        <v>0</v>
      </c>
    </row>
    <row r="17" spans="1:5" x14ac:dyDescent="0.35">
      <c r="A17" s="15" t="s">
        <v>36</v>
      </c>
      <c r="B17" s="15" t="s">
        <v>27</v>
      </c>
      <c r="C17" s="22">
        <v>3</v>
      </c>
      <c r="D17" s="23" t="s">
        <v>49</v>
      </c>
      <c r="E17" s="22">
        <v>2</v>
      </c>
    </row>
    <row r="18" spans="1:5" x14ac:dyDescent="0.35">
      <c r="A18" s="17" t="s">
        <v>39</v>
      </c>
      <c r="B18" s="17" t="s">
        <v>27</v>
      </c>
      <c r="C18" s="24">
        <v>1</v>
      </c>
      <c r="D18" s="25" t="s">
        <v>50</v>
      </c>
      <c r="E18" s="24">
        <v>42</v>
      </c>
    </row>
    <row r="19" spans="1:5" x14ac:dyDescent="0.35">
      <c r="A19" s="15" t="s">
        <v>36</v>
      </c>
      <c r="B19" s="15" t="s">
        <v>28</v>
      </c>
      <c r="C19" s="22">
        <v>1</v>
      </c>
      <c r="D19" s="23" t="s">
        <v>51</v>
      </c>
      <c r="E19" s="22">
        <v>0</v>
      </c>
    </row>
    <row r="20" spans="1:5" x14ac:dyDescent="0.35">
      <c r="A20" s="17" t="s">
        <v>37</v>
      </c>
      <c r="B20" s="17" t="s">
        <v>27</v>
      </c>
      <c r="C20" s="24">
        <v>3</v>
      </c>
      <c r="D20" s="25" t="s">
        <v>52</v>
      </c>
      <c r="E20" s="24">
        <v>3</v>
      </c>
    </row>
    <row r="21" spans="1:5" x14ac:dyDescent="0.35">
      <c r="A21" s="15" t="s">
        <v>39</v>
      </c>
      <c r="B21" s="15" t="s">
        <v>28</v>
      </c>
      <c r="C21" s="22">
        <v>3</v>
      </c>
      <c r="D21" s="23" t="s">
        <v>53</v>
      </c>
      <c r="E21" s="22">
        <v>0</v>
      </c>
    </row>
    <row r="22" spans="1:5" x14ac:dyDescent="0.35">
      <c r="A22" s="17" t="s">
        <v>38</v>
      </c>
      <c r="B22" s="17" t="s">
        <v>28</v>
      </c>
      <c r="C22" s="24">
        <v>2</v>
      </c>
      <c r="D22" s="25" t="s">
        <v>54</v>
      </c>
      <c r="E22" s="24">
        <v>0</v>
      </c>
    </row>
    <row r="23" spans="1:5" x14ac:dyDescent="0.35">
      <c r="A23" s="15" t="s">
        <v>38</v>
      </c>
      <c r="B23" s="15" t="s">
        <v>27</v>
      </c>
      <c r="C23" s="22">
        <v>2</v>
      </c>
      <c r="D23" s="23" t="s">
        <v>55</v>
      </c>
      <c r="E23" s="22">
        <v>2</v>
      </c>
    </row>
    <row r="24" spans="1:5" x14ac:dyDescent="0.35">
      <c r="A24" s="17" t="s">
        <v>40</v>
      </c>
      <c r="B24" s="17" t="s">
        <v>27</v>
      </c>
      <c r="C24" s="24">
        <v>3</v>
      </c>
      <c r="D24" s="25" t="s">
        <v>56</v>
      </c>
      <c r="E24" s="24">
        <v>43</v>
      </c>
    </row>
    <row r="25" spans="1:5" x14ac:dyDescent="0.35">
      <c r="A25" s="15" t="s">
        <v>38</v>
      </c>
      <c r="B25" s="15" t="s">
        <v>28</v>
      </c>
      <c r="C25" s="22">
        <v>1</v>
      </c>
      <c r="D25" s="23" t="s">
        <v>57</v>
      </c>
      <c r="E25" s="22">
        <v>0</v>
      </c>
    </row>
    <row r="26" spans="1:5" x14ac:dyDescent="0.35">
      <c r="A26" s="17" t="s">
        <v>38</v>
      </c>
      <c r="B26" s="17" t="s">
        <v>27</v>
      </c>
      <c r="C26" s="24">
        <v>3</v>
      </c>
      <c r="D26" s="25" t="s">
        <v>58</v>
      </c>
      <c r="E26" s="24">
        <v>1</v>
      </c>
    </row>
    <row r="27" spans="1:5" x14ac:dyDescent="0.35">
      <c r="A27" s="15" t="s">
        <v>40</v>
      </c>
      <c r="B27" s="15" t="s">
        <v>28</v>
      </c>
      <c r="C27" s="22">
        <v>1</v>
      </c>
      <c r="D27" s="23" t="s">
        <v>59</v>
      </c>
      <c r="E27" s="22">
        <v>4</v>
      </c>
    </row>
    <row r="28" spans="1:5" x14ac:dyDescent="0.35">
      <c r="A28" s="17" t="s">
        <v>36</v>
      </c>
      <c r="B28" s="17" t="s">
        <v>27</v>
      </c>
      <c r="C28" s="24">
        <v>1</v>
      </c>
      <c r="D28" s="25" t="s">
        <v>60</v>
      </c>
      <c r="E28" s="24">
        <v>2</v>
      </c>
    </row>
    <row r="29" spans="1:5" x14ac:dyDescent="0.35">
      <c r="A29" s="15" t="s">
        <v>36</v>
      </c>
      <c r="B29" s="15" t="s">
        <v>27</v>
      </c>
      <c r="C29" s="22">
        <v>2</v>
      </c>
      <c r="D29" s="23" t="s">
        <v>61</v>
      </c>
      <c r="E29" s="22">
        <v>2</v>
      </c>
    </row>
    <row r="30" spans="1:5" x14ac:dyDescent="0.35">
      <c r="A30" s="17" t="s">
        <v>39</v>
      </c>
      <c r="B30" s="17" t="s">
        <v>28</v>
      </c>
      <c r="C30" s="24">
        <v>2</v>
      </c>
      <c r="D30" s="25" t="s">
        <v>62</v>
      </c>
      <c r="E30" s="24">
        <v>0</v>
      </c>
    </row>
    <row r="31" spans="1:5" x14ac:dyDescent="0.35">
      <c r="A31" s="15" t="s">
        <v>36</v>
      </c>
      <c r="B31" s="15" t="s">
        <v>28</v>
      </c>
      <c r="C31" s="22">
        <v>2</v>
      </c>
      <c r="D31" s="23" t="s">
        <v>63</v>
      </c>
      <c r="E31" s="22">
        <v>0</v>
      </c>
    </row>
    <row r="32" spans="1:5" x14ac:dyDescent="0.35">
      <c r="A32" s="17" t="s">
        <v>38</v>
      </c>
      <c r="B32" s="17" t="s">
        <v>27</v>
      </c>
      <c r="C32" s="24">
        <v>1</v>
      </c>
      <c r="D32" s="25" t="s">
        <v>64</v>
      </c>
      <c r="E32" s="24">
        <v>1</v>
      </c>
    </row>
    <row r="33" spans="1:5" x14ac:dyDescent="0.35">
      <c r="A33" s="15" t="s">
        <v>39</v>
      </c>
      <c r="B33" s="15" t="s">
        <v>27</v>
      </c>
      <c r="C33" s="22">
        <v>2</v>
      </c>
      <c r="D33" s="23" t="s">
        <v>65</v>
      </c>
      <c r="E33" s="22">
        <v>42</v>
      </c>
    </row>
    <row r="34" spans="1:5" x14ac:dyDescent="0.35">
      <c r="A34" s="17" t="s">
        <v>39</v>
      </c>
      <c r="B34" s="17" t="s">
        <v>27</v>
      </c>
      <c r="C34" s="24">
        <v>3</v>
      </c>
      <c r="D34" s="25" t="s">
        <v>66</v>
      </c>
      <c r="E34" s="24">
        <v>41</v>
      </c>
    </row>
    <row r="35" spans="1:5" x14ac:dyDescent="0.35">
      <c r="A35" s="15" t="s">
        <v>40</v>
      </c>
      <c r="B35" s="15" t="s">
        <v>27</v>
      </c>
      <c r="C35" s="22">
        <v>1</v>
      </c>
      <c r="D35" s="23" t="s">
        <v>67</v>
      </c>
      <c r="E35" s="22">
        <v>43</v>
      </c>
    </row>
    <row r="36" spans="1:5" x14ac:dyDescent="0.35">
      <c r="A36" s="17" t="s">
        <v>38</v>
      </c>
      <c r="B36" s="17" t="s">
        <v>28</v>
      </c>
      <c r="C36" s="24">
        <v>3</v>
      </c>
      <c r="D36" s="25" t="s">
        <v>68</v>
      </c>
      <c r="E36" s="24">
        <v>0</v>
      </c>
    </row>
    <row r="37" spans="1:5" x14ac:dyDescent="0.35">
      <c r="A37" s="15" t="s">
        <v>40</v>
      </c>
      <c r="B37" s="15" t="s">
        <v>27</v>
      </c>
      <c r="C37" s="22">
        <v>2</v>
      </c>
      <c r="D37" s="23" t="s">
        <v>69</v>
      </c>
      <c r="E37" s="22">
        <v>43</v>
      </c>
    </row>
    <row r="38" spans="1:5" x14ac:dyDescent="0.35">
      <c r="A38" s="17" t="s">
        <v>37</v>
      </c>
      <c r="B38" s="17" t="s">
        <v>28</v>
      </c>
      <c r="C38" s="24">
        <v>1</v>
      </c>
      <c r="D38" s="25" t="s">
        <v>70</v>
      </c>
      <c r="E38" s="24">
        <v>0</v>
      </c>
    </row>
    <row r="39" spans="1:5" x14ac:dyDescent="0.35">
      <c r="A39" s="15" t="s">
        <v>37</v>
      </c>
      <c r="B39" s="15" t="s">
        <v>28</v>
      </c>
      <c r="C39" s="22">
        <v>2</v>
      </c>
      <c r="D39" s="23" t="s">
        <v>71</v>
      </c>
      <c r="E39" s="22">
        <v>0</v>
      </c>
    </row>
    <row r="40" spans="1:5" x14ac:dyDescent="0.35">
      <c r="A40" s="17" t="s">
        <v>37</v>
      </c>
      <c r="B40" s="17" t="s">
        <v>28</v>
      </c>
      <c r="C40" s="24">
        <v>3</v>
      </c>
      <c r="D40" s="25" t="s">
        <v>72</v>
      </c>
      <c r="E40" s="24">
        <v>0</v>
      </c>
    </row>
    <row r="41" spans="1:5" x14ac:dyDescent="0.35">
      <c r="A41" s="15" t="s">
        <v>37</v>
      </c>
      <c r="B41" s="15" t="s">
        <v>27</v>
      </c>
      <c r="C41" s="22">
        <v>1</v>
      </c>
      <c r="D41" s="23" t="s">
        <v>73</v>
      </c>
      <c r="E41" s="22">
        <v>3</v>
      </c>
    </row>
    <row r="42" spans="1:5" x14ac:dyDescent="0.35">
      <c r="A42" s="17" t="s">
        <v>37</v>
      </c>
      <c r="B42" s="17" t="s">
        <v>27</v>
      </c>
      <c r="C42" s="24">
        <v>2</v>
      </c>
      <c r="D42" s="25" t="s">
        <v>74</v>
      </c>
      <c r="E42" s="24">
        <v>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1"/>
  <sheetViews>
    <sheetView workbookViewId="0"/>
  </sheetViews>
  <sheetFormatPr defaultRowHeight="14.5" x14ac:dyDescent="0.35"/>
  <cols>
    <col min="1" max="1" width="40" customWidth="1"/>
    <col min="2" max="2" width="13" customWidth="1"/>
    <col min="3" max="3" width="12" customWidth="1"/>
    <col min="4" max="4" width="14" customWidth="1"/>
    <col min="5" max="5" width="40" customWidth="1"/>
    <col min="6" max="6" width="16" customWidth="1"/>
    <col min="7" max="7" width="50.1796875" customWidth="1"/>
    <col min="8" max="10" width="20" customWidth="1"/>
    <col min="11" max="11" width="15" customWidth="1"/>
    <col min="12" max="12" width="13" customWidth="1"/>
    <col min="13" max="14" width="17" customWidth="1"/>
    <col min="15" max="15" width="20" customWidth="1"/>
    <col min="16" max="16" width="17" customWidth="1"/>
    <col min="17" max="17" width="30" customWidth="1"/>
    <col min="18" max="18" width="17" customWidth="1"/>
    <col min="19" max="19" width="16" customWidth="1"/>
    <col min="20" max="20" width="38" customWidth="1"/>
    <col min="21" max="21" width="24" customWidth="1"/>
    <col min="22" max="22" width="23" customWidth="1"/>
    <col min="23" max="23" width="22" customWidth="1"/>
    <col min="24" max="24" width="21" customWidth="1"/>
  </cols>
  <sheetData>
    <row r="1" spans="1:24" ht="25" customHeight="1" x14ac:dyDescent="0.35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  <c r="J1" s="3" t="s">
        <v>84</v>
      </c>
      <c r="K1" s="3" t="s">
        <v>85</v>
      </c>
      <c r="L1" s="3" t="s">
        <v>86</v>
      </c>
      <c r="M1" s="3" t="s">
        <v>87</v>
      </c>
      <c r="N1" s="3" t="s">
        <v>88</v>
      </c>
      <c r="O1" s="3" t="s">
        <v>89</v>
      </c>
      <c r="P1" s="3" t="s">
        <v>90</v>
      </c>
      <c r="Q1" s="3" t="s">
        <v>91</v>
      </c>
      <c r="R1" s="3" t="s">
        <v>92</v>
      </c>
      <c r="S1" s="3" t="s">
        <v>93</v>
      </c>
      <c r="T1" s="3" t="s">
        <v>94</v>
      </c>
      <c r="U1" s="3" t="s">
        <v>95</v>
      </c>
      <c r="V1" s="3" t="s">
        <v>96</v>
      </c>
      <c r="W1" s="3" t="s">
        <v>97</v>
      </c>
      <c r="X1" s="3" t="s">
        <v>98</v>
      </c>
    </row>
    <row r="2" spans="1:24" ht="20" customHeight="1" x14ac:dyDescent="0.35">
      <c r="A2" s="25" t="s">
        <v>99</v>
      </c>
      <c r="B2" s="25" t="s">
        <v>40</v>
      </c>
      <c r="C2" s="25" t="s">
        <v>28</v>
      </c>
      <c r="D2" s="10">
        <v>3</v>
      </c>
      <c r="E2" s="25" t="s">
        <v>45</v>
      </c>
      <c r="F2" s="25" t="s">
        <v>100</v>
      </c>
      <c r="G2" s="25" t="s">
        <v>101</v>
      </c>
      <c r="H2" s="10">
        <v>2</v>
      </c>
      <c r="I2" s="10">
        <v>54</v>
      </c>
      <c r="J2" s="10">
        <v>48</v>
      </c>
      <c r="K2" s="10">
        <v>1</v>
      </c>
      <c r="L2" s="10">
        <v>47</v>
      </c>
      <c r="M2" s="10">
        <v>0</v>
      </c>
      <c r="N2" s="10">
        <v>0</v>
      </c>
      <c r="O2" s="10">
        <v>0</v>
      </c>
      <c r="P2" s="10">
        <v>0</v>
      </c>
      <c r="Q2" s="10">
        <v>47</v>
      </c>
      <c r="R2" s="10">
        <v>10222</v>
      </c>
      <c r="S2" s="10">
        <v>267</v>
      </c>
      <c r="T2" s="25" t="s">
        <v>102</v>
      </c>
      <c r="U2" s="10">
        <v>49</v>
      </c>
      <c r="V2" s="10">
        <v>10000</v>
      </c>
      <c r="W2" s="10">
        <v>222</v>
      </c>
      <c r="X2" s="10">
        <v>5</v>
      </c>
    </row>
    <row r="3" spans="1:24" ht="20" customHeight="1" x14ac:dyDescent="0.35">
      <c r="A3" s="23" t="s">
        <v>103</v>
      </c>
      <c r="B3" s="23" t="s">
        <v>40</v>
      </c>
      <c r="C3" s="23" t="s">
        <v>28</v>
      </c>
      <c r="D3" s="5">
        <v>2</v>
      </c>
      <c r="E3" s="23" t="s">
        <v>46</v>
      </c>
      <c r="F3" s="23" t="s">
        <v>100</v>
      </c>
      <c r="G3" s="23" t="s">
        <v>101</v>
      </c>
      <c r="H3" s="5">
        <v>2</v>
      </c>
      <c r="I3" s="5">
        <v>54</v>
      </c>
      <c r="J3" s="5">
        <v>49</v>
      </c>
      <c r="K3" s="5">
        <v>1</v>
      </c>
      <c r="L3" s="5">
        <v>48</v>
      </c>
      <c r="M3" s="5">
        <v>0</v>
      </c>
      <c r="N3" s="5">
        <v>0</v>
      </c>
      <c r="O3" s="5">
        <v>0</v>
      </c>
      <c r="P3" s="5">
        <v>0</v>
      </c>
      <c r="Q3" s="5">
        <v>48</v>
      </c>
      <c r="R3" s="5">
        <v>10219</v>
      </c>
      <c r="S3" s="5">
        <v>359</v>
      </c>
      <c r="T3" s="23" t="s">
        <v>104</v>
      </c>
      <c r="U3" s="5">
        <v>50</v>
      </c>
      <c r="V3" s="5">
        <v>10000</v>
      </c>
      <c r="W3" s="5">
        <v>219</v>
      </c>
      <c r="X3" s="5">
        <v>4</v>
      </c>
    </row>
    <row r="4" spans="1:24" ht="20" customHeight="1" x14ac:dyDescent="0.35">
      <c r="A4" s="25" t="s">
        <v>105</v>
      </c>
      <c r="B4" s="25" t="s">
        <v>39</v>
      </c>
      <c r="C4" s="25" t="s">
        <v>28</v>
      </c>
      <c r="D4" s="10">
        <v>1</v>
      </c>
      <c r="E4" s="25" t="s">
        <v>47</v>
      </c>
      <c r="F4" s="25" t="s">
        <v>100</v>
      </c>
      <c r="G4" s="25" t="s">
        <v>106</v>
      </c>
      <c r="H4" s="10">
        <v>1</v>
      </c>
      <c r="I4" s="10">
        <v>54</v>
      </c>
      <c r="J4" s="10">
        <v>54</v>
      </c>
      <c r="K4" s="10">
        <v>1</v>
      </c>
      <c r="L4" s="10">
        <v>53</v>
      </c>
      <c r="M4" s="10">
        <v>0</v>
      </c>
      <c r="N4" s="10">
        <v>0</v>
      </c>
      <c r="O4" s="10">
        <v>0</v>
      </c>
      <c r="P4" s="10">
        <v>0</v>
      </c>
      <c r="Q4" s="10">
        <v>53</v>
      </c>
      <c r="R4" s="10">
        <v>10248</v>
      </c>
      <c r="S4" s="10">
        <v>11</v>
      </c>
      <c r="T4" s="25"/>
      <c r="U4" s="10">
        <v>108</v>
      </c>
      <c r="V4" s="10">
        <v>10001</v>
      </c>
      <c r="W4" s="10">
        <v>247</v>
      </c>
      <c r="X4" s="10">
        <v>0</v>
      </c>
    </row>
    <row r="5" spans="1:24" ht="20" customHeight="1" x14ac:dyDescent="0.35">
      <c r="A5" s="23" t="s">
        <v>107</v>
      </c>
      <c r="B5" s="23" t="s">
        <v>36</v>
      </c>
      <c r="C5" s="23" t="s">
        <v>28</v>
      </c>
      <c r="D5" s="5">
        <v>3</v>
      </c>
      <c r="E5" s="23" t="s">
        <v>48</v>
      </c>
      <c r="F5" s="23" t="s">
        <v>100</v>
      </c>
      <c r="G5" s="23" t="s">
        <v>106</v>
      </c>
      <c r="H5" s="5">
        <v>1</v>
      </c>
      <c r="I5" s="5">
        <v>5</v>
      </c>
      <c r="J5" s="5">
        <v>6</v>
      </c>
      <c r="K5" s="5">
        <v>1</v>
      </c>
      <c r="L5" s="5">
        <v>4</v>
      </c>
      <c r="M5" s="5">
        <v>0</v>
      </c>
      <c r="N5" s="5">
        <v>1</v>
      </c>
      <c r="O5" s="5">
        <v>0</v>
      </c>
      <c r="P5" s="5">
        <v>0</v>
      </c>
      <c r="Q5" s="5">
        <v>4</v>
      </c>
      <c r="R5" s="5">
        <v>30291</v>
      </c>
      <c r="S5" s="5">
        <v>12</v>
      </c>
      <c r="T5" s="23"/>
      <c r="U5" s="5">
        <v>12</v>
      </c>
      <c r="V5" s="5">
        <v>30000</v>
      </c>
      <c r="W5" s="5">
        <v>291</v>
      </c>
      <c r="X5" s="5">
        <v>0</v>
      </c>
    </row>
    <row r="6" spans="1:24" ht="20" customHeight="1" x14ac:dyDescent="0.35">
      <c r="A6" s="25" t="s">
        <v>108</v>
      </c>
      <c r="B6" s="25" t="s">
        <v>36</v>
      </c>
      <c r="C6" s="25" t="s">
        <v>27</v>
      </c>
      <c r="D6" s="10">
        <v>3</v>
      </c>
      <c r="E6" s="25" t="s">
        <v>49</v>
      </c>
      <c r="F6" s="25" t="s">
        <v>100</v>
      </c>
      <c r="G6" s="25" t="s">
        <v>106</v>
      </c>
      <c r="H6" s="10">
        <v>1</v>
      </c>
      <c r="I6" s="10">
        <v>5</v>
      </c>
      <c r="J6" s="10">
        <v>31</v>
      </c>
      <c r="K6" s="10">
        <v>1</v>
      </c>
      <c r="L6" s="10">
        <v>2</v>
      </c>
      <c r="M6" s="10">
        <v>28</v>
      </c>
      <c r="N6" s="10">
        <v>0</v>
      </c>
      <c r="O6" s="10">
        <v>0</v>
      </c>
      <c r="P6" s="10">
        <v>0</v>
      </c>
      <c r="Q6" s="10">
        <v>2</v>
      </c>
      <c r="R6" s="10">
        <v>30206</v>
      </c>
      <c r="S6" s="10">
        <v>199</v>
      </c>
      <c r="T6" s="25" t="s">
        <v>109</v>
      </c>
      <c r="U6" s="10">
        <v>32</v>
      </c>
      <c r="V6" s="10">
        <v>30000</v>
      </c>
      <c r="W6" s="10">
        <v>206</v>
      </c>
      <c r="X6" s="10">
        <v>2</v>
      </c>
    </row>
    <row r="7" spans="1:24" ht="20" customHeight="1" x14ac:dyDescent="0.35">
      <c r="A7" s="23" t="s">
        <v>110</v>
      </c>
      <c r="B7" s="23" t="s">
        <v>39</v>
      </c>
      <c r="C7" s="23" t="s">
        <v>27</v>
      </c>
      <c r="D7" s="5">
        <v>1</v>
      </c>
      <c r="E7" s="23" t="s">
        <v>50</v>
      </c>
      <c r="F7" s="23" t="s">
        <v>100</v>
      </c>
      <c r="G7" s="23" t="s">
        <v>106</v>
      </c>
      <c r="H7" s="5">
        <v>1</v>
      </c>
      <c r="I7" s="5">
        <v>54</v>
      </c>
      <c r="J7" s="5">
        <v>12</v>
      </c>
      <c r="K7" s="5">
        <v>1</v>
      </c>
      <c r="L7" s="5">
        <v>11</v>
      </c>
      <c r="M7" s="5">
        <v>0</v>
      </c>
      <c r="N7" s="5">
        <v>0</v>
      </c>
      <c r="O7" s="5">
        <v>0</v>
      </c>
      <c r="P7" s="5">
        <v>0</v>
      </c>
      <c r="Q7" s="5">
        <v>11</v>
      </c>
      <c r="R7" s="5">
        <v>10214</v>
      </c>
      <c r="S7" s="5">
        <v>789</v>
      </c>
      <c r="T7" s="23" t="s">
        <v>111</v>
      </c>
      <c r="U7" s="5">
        <v>13</v>
      </c>
      <c r="V7" s="5">
        <v>10001</v>
      </c>
      <c r="W7" s="5">
        <v>213</v>
      </c>
      <c r="X7" s="5">
        <v>42</v>
      </c>
    </row>
    <row r="8" spans="1:24" ht="20" customHeight="1" x14ac:dyDescent="0.35">
      <c r="A8" s="25" t="s">
        <v>112</v>
      </c>
      <c r="B8" s="25" t="s">
        <v>36</v>
      </c>
      <c r="C8" s="25" t="s">
        <v>28</v>
      </c>
      <c r="D8" s="10">
        <v>1</v>
      </c>
      <c r="E8" s="25" t="s">
        <v>51</v>
      </c>
      <c r="F8" s="25" t="s">
        <v>100</v>
      </c>
      <c r="G8" s="25" t="s">
        <v>106</v>
      </c>
      <c r="H8" s="10">
        <v>1</v>
      </c>
      <c r="I8" s="10">
        <v>5</v>
      </c>
      <c r="J8" s="10">
        <v>6</v>
      </c>
      <c r="K8" s="10">
        <v>1</v>
      </c>
      <c r="L8" s="10">
        <v>4</v>
      </c>
      <c r="M8" s="10">
        <v>0</v>
      </c>
      <c r="N8" s="10">
        <v>1</v>
      </c>
      <c r="O8" s="10">
        <v>0</v>
      </c>
      <c r="P8" s="10">
        <v>0</v>
      </c>
      <c r="Q8" s="10">
        <v>4</v>
      </c>
      <c r="R8" s="10">
        <v>30288</v>
      </c>
      <c r="S8" s="10">
        <v>3</v>
      </c>
      <c r="T8" s="25"/>
      <c r="U8" s="10">
        <v>12</v>
      </c>
      <c r="V8" s="10">
        <v>30000</v>
      </c>
      <c r="W8" s="10">
        <v>288</v>
      </c>
      <c r="X8" s="10">
        <v>0</v>
      </c>
    </row>
    <row r="9" spans="1:24" ht="20" customHeight="1" x14ac:dyDescent="0.35">
      <c r="A9" s="23" t="s">
        <v>113</v>
      </c>
      <c r="B9" s="23" t="s">
        <v>37</v>
      </c>
      <c r="C9" s="23" t="s">
        <v>27</v>
      </c>
      <c r="D9" s="5">
        <v>3</v>
      </c>
      <c r="E9" s="23" t="s">
        <v>52</v>
      </c>
      <c r="F9" s="23" t="s">
        <v>100</v>
      </c>
      <c r="G9" s="23" t="s">
        <v>106</v>
      </c>
      <c r="H9" s="5">
        <v>1</v>
      </c>
      <c r="I9" s="5">
        <v>5</v>
      </c>
      <c r="J9" s="5">
        <v>2</v>
      </c>
      <c r="K9" s="5">
        <v>1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1</v>
      </c>
      <c r="R9" s="5">
        <v>220</v>
      </c>
      <c r="S9" s="5">
        <v>792</v>
      </c>
      <c r="T9" s="23" t="s">
        <v>114</v>
      </c>
      <c r="U9" s="5">
        <v>3</v>
      </c>
      <c r="V9" s="5">
        <v>0</v>
      </c>
      <c r="W9" s="5">
        <v>220</v>
      </c>
      <c r="X9" s="5">
        <v>3</v>
      </c>
    </row>
    <row r="10" spans="1:24" ht="20" customHeight="1" x14ac:dyDescent="0.35">
      <c r="A10" s="25" t="s">
        <v>115</v>
      </c>
      <c r="B10" s="25" t="s">
        <v>39</v>
      </c>
      <c r="C10" s="25" t="s">
        <v>28</v>
      </c>
      <c r="D10" s="10">
        <v>3</v>
      </c>
      <c r="E10" s="25" t="s">
        <v>53</v>
      </c>
      <c r="F10" s="25" t="s">
        <v>100</v>
      </c>
      <c r="G10" s="25" t="s">
        <v>106</v>
      </c>
      <c r="H10" s="10">
        <v>1</v>
      </c>
      <c r="I10" s="10">
        <v>54</v>
      </c>
      <c r="J10" s="10">
        <v>54</v>
      </c>
      <c r="K10" s="10">
        <v>1</v>
      </c>
      <c r="L10" s="10">
        <v>53</v>
      </c>
      <c r="M10" s="10">
        <v>0</v>
      </c>
      <c r="N10" s="10">
        <v>0</v>
      </c>
      <c r="O10" s="10">
        <v>0</v>
      </c>
      <c r="P10" s="10">
        <v>0</v>
      </c>
      <c r="Q10" s="10">
        <v>53</v>
      </c>
      <c r="R10" s="10">
        <v>10226</v>
      </c>
      <c r="S10" s="10">
        <v>2</v>
      </c>
      <c r="T10" s="25"/>
      <c r="U10" s="10">
        <v>108</v>
      </c>
      <c r="V10" s="10">
        <v>10000</v>
      </c>
      <c r="W10" s="10">
        <v>226</v>
      </c>
      <c r="X10" s="10">
        <v>0</v>
      </c>
    </row>
    <row r="11" spans="1:24" ht="20" customHeight="1" x14ac:dyDescent="0.35">
      <c r="A11" s="23" t="s">
        <v>116</v>
      </c>
      <c r="B11" s="23" t="s">
        <v>38</v>
      </c>
      <c r="C11" s="23" t="s">
        <v>28</v>
      </c>
      <c r="D11" s="5">
        <v>2</v>
      </c>
      <c r="E11" s="23" t="s">
        <v>54</v>
      </c>
      <c r="F11" s="23" t="s">
        <v>100</v>
      </c>
      <c r="G11" s="23" t="s">
        <v>106</v>
      </c>
      <c r="H11" s="5">
        <v>1</v>
      </c>
      <c r="I11" s="5">
        <v>9</v>
      </c>
      <c r="J11" s="5">
        <v>9</v>
      </c>
      <c r="K11" s="5">
        <v>1</v>
      </c>
      <c r="L11" s="5">
        <v>8</v>
      </c>
      <c r="M11" s="5">
        <v>0</v>
      </c>
      <c r="N11" s="5">
        <v>0</v>
      </c>
      <c r="O11" s="5">
        <v>0</v>
      </c>
      <c r="P11" s="5">
        <v>0</v>
      </c>
      <c r="Q11" s="5">
        <v>8</v>
      </c>
      <c r="R11" s="5">
        <v>10261</v>
      </c>
      <c r="S11" s="5">
        <v>10</v>
      </c>
      <c r="T11" s="23"/>
      <c r="U11" s="5">
        <v>18</v>
      </c>
      <c r="V11" s="5">
        <v>10000</v>
      </c>
      <c r="W11" s="5">
        <v>261</v>
      </c>
      <c r="X11" s="5">
        <v>0</v>
      </c>
    </row>
    <row r="12" spans="1:24" ht="20" customHeight="1" x14ac:dyDescent="0.35">
      <c r="A12" s="25" t="s">
        <v>117</v>
      </c>
      <c r="B12" s="25" t="s">
        <v>38</v>
      </c>
      <c r="C12" s="25" t="s">
        <v>27</v>
      </c>
      <c r="D12" s="10">
        <v>2</v>
      </c>
      <c r="E12" s="25" t="s">
        <v>55</v>
      </c>
      <c r="F12" s="25" t="s">
        <v>100</v>
      </c>
      <c r="G12" s="25" t="s">
        <v>106</v>
      </c>
      <c r="H12" s="10">
        <v>1</v>
      </c>
      <c r="I12" s="10">
        <v>9</v>
      </c>
      <c r="J12" s="10">
        <v>12</v>
      </c>
      <c r="K12" s="10">
        <v>1</v>
      </c>
      <c r="L12" s="10">
        <v>6</v>
      </c>
      <c r="M12" s="10">
        <v>5</v>
      </c>
      <c r="N12" s="10">
        <v>0</v>
      </c>
      <c r="O12" s="10">
        <v>0</v>
      </c>
      <c r="P12" s="10">
        <v>0</v>
      </c>
      <c r="Q12" s="10">
        <v>6</v>
      </c>
      <c r="R12" s="10">
        <v>10228</v>
      </c>
      <c r="S12" s="10">
        <v>735</v>
      </c>
      <c r="T12" s="25" t="s">
        <v>109</v>
      </c>
      <c r="U12" s="10">
        <v>13</v>
      </c>
      <c r="V12" s="10">
        <v>10001</v>
      </c>
      <c r="W12" s="10">
        <v>227</v>
      </c>
      <c r="X12" s="10">
        <v>2</v>
      </c>
    </row>
    <row r="13" spans="1:24" ht="20" customHeight="1" x14ac:dyDescent="0.35">
      <c r="A13" s="23" t="s">
        <v>118</v>
      </c>
      <c r="B13" s="23" t="s">
        <v>40</v>
      </c>
      <c r="C13" s="23" t="s">
        <v>27</v>
      </c>
      <c r="D13" s="5">
        <v>3</v>
      </c>
      <c r="E13" s="23" t="s">
        <v>56</v>
      </c>
      <c r="F13" s="23" t="s">
        <v>100</v>
      </c>
      <c r="G13" s="23" t="s">
        <v>101</v>
      </c>
      <c r="H13" s="5">
        <v>2</v>
      </c>
      <c r="I13" s="5">
        <v>54</v>
      </c>
      <c r="J13" s="5">
        <v>10</v>
      </c>
      <c r="K13" s="5">
        <v>1</v>
      </c>
      <c r="L13" s="5">
        <v>9</v>
      </c>
      <c r="M13" s="5">
        <v>0</v>
      </c>
      <c r="N13" s="5">
        <v>0</v>
      </c>
      <c r="O13" s="5">
        <v>0</v>
      </c>
      <c r="P13" s="5">
        <v>0</v>
      </c>
      <c r="Q13" s="5">
        <v>9</v>
      </c>
      <c r="R13" s="5">
        <v>10227</v>
      </c>
      <c r="S13" s="5">
        <v>1036</v>
      </c>
      <c r="T13" s="23" t="s">
        <v>119</v>
      </c>
      <c r="U13" s="5">
        <v>11</v>
      </c>
      <c r="V13" s="5">
        <v>10001</v>
      </c>
      <c r="W13" s="5">
        <v>226</v>
      </c>
      <c r="X13" s="5">
        <v>43</v>
      </c>
    </row>
    <row r="14" spans="1:24" ht="20" customHeight="1" x14ac:dyDescent="0.35">
      <c r="A14" s="25" t="s">
        <v>120</v>
      </c>
      <c r="B14" s="25" t="s">
        <v>38</v>
      </c>
      <c r="C14" s="25" t="s">
        <v>28</v>
      </c>
      <c r="D14" s="10">
        <v>1</v>
      </c>
      <c r="E14" s="25" t="s">
        <v>57</v>
      </c>
      <c r="F14" s="25" t="s">
        <v>100</v>
      </c>
      <c r="G14" s="25" t="s">
        <v>106</v>
      </c>
      <c r="H14" s="10">
        <v>1</v>
      </c>
      <c r="I14" s="10">
        <v>9</v>
      </c>
      <c r="J14" s="10">
        <v>9</v>
      </c>
      <c r="K14" s="10">
        <v>1</v>
      </c>
      <c r="L14" s="10">
        <v>8</v>
      </c>
      <c r="M14" s="10">
        <v>0</v>
      </c>
      <c r="N14" s="10">
        <v>0</v>
      </c>
      <c r="O14" s="10">
        <v>0</v>
      </c>
      <c r="P14" s="10">
        <v>0</v>
      </c>
      <c r="Q14" s="10">
        <v>8</v>
      </c>
      <c r="R14" s="10">
        <v>10247</v>
      </c>
      <c r="S14" s="10">
        <v>4</v>
      </c>
      <c r="T14" s="25"/>
      <c r="U14" s="10">
        <v>18</v>
      </c>
      <c r="V14" s="10">
        <v>10000</v>
      </c>
      <c r="W14" s="10">
        <v>247</v>
      </c>
      <c r="X14" s="10">
        <v>0</v>
      </c>
    </row>
    <row r="15" spans="1:24" ht="20" customHeight="1" x14ac:dyDescent="0.35">
      <c r="A15" s="23" t="s">
        <v>121</v>
      </c>
      <c r="B15" s="23" t="s">
        <v>38</v>
      </c>
      <c r="C15" s="23" t="s">
        <v>27</v>
      </c>
      <c r="D15" s="5">
        <v>3</v>
      </c>
      <c r="E15" s="23" t="s">
        <v>58</v>
      </c>
      <c r="F15" s="23" t="s">
        <v>100</v>
      </c>
      <c r="G15" s="23" t="s">
        <v>106</v>
      </c>
      <c r="H15" s="5">
        <v>1</v>
      </c>
      <c r="I15" s="5">
        <v>9</v>
      </c>
      <c r="J15" s="5">
        <v>12</v>
      </c>
      <c r="K15" s="5">
        <v>1</v>
      </c>
      <c r="L15" s="5">
        <v>7</v>
      </c>
      <c r="M15" s="5">
        <v>4</v>
      </c>
      <c r="N15" s="5">
        <v>0</v>
      </c>
      <c r="O15" s="5">
        <v>0</v>
      </c>
      <c r="P15" s="5">
        <v>0</v>
      </c>
      <c r="Q15" s="5">
        <v>7</v>
      </c>
      <c r="R15" s="5">
        <v>10269</v>
      </c>
      <c r="S15" s="5">
        <v>802</v>
      </c>
      <c r="T15" s="23" t="s">
        <v>122</v>
      </c>
      <c r="U15" s="5">
        <v>13</v>
      </c>
      <c r="V15" s="5">
        <v>10000</v>
      </c>
      <c r="W15" s="5">
        <v>269</v>
      </c>
      <c r="X15" s="5">
        <v>1</v>
      </c>
    </row>
    <row r="16" spans="1:24" ht="20" customHeight="1" x14ac:dyDescent="0.35">
      <c r="A16" s="25" t="s">
        <v>123</v>
      </c>
      <c r="B16" s="25" t="s">
        <v>40</v>
      </c>
      <c r="C16" s="25" t="s">
        <v>28</v>
      </c>
      <c r="D16" s="10">
        <v>1</v>
      </c>
      <c r="E16" s="25" t="s">
        <v>59</v>
      </c>
      <c r="F16" s="25" t="s">
        <v>100</v>
      </c>
      <c r="G16" s="25" t="s">
        <v>101</v>
      </c>
      <c r="H16" s="10">
        <v>2</v>
      </c>
      <c r="I16" s="10">
        <v>54</v>
      </c>
      <c r="J16" s="10">
        <v>49</v>
      </c>
      <c r="K16" s="10">
        <v>1</v>
      </c>
      <c r="L16" s="10">
        <v>48</v>
      </c>
      <c r="M16" s="10">
        <v>0</v>
      </c>
      <c r="N16" s="10">
        <v>0</v>
      </c>
      <c r="O16" s="10">
        <v>0</v>
      </c>
      <c r="P16" s="10">
        <v>0</v>
      </c>
      <c r="Q16" s="10">
        <v>48</v>
      </c>
      <c r="R16" s="10">
        <v>10240</v>
      </c>
      <c r="S16" s="10">
        <v>309</v>
      </c>
      <c r="T16" s="25" t="s">
        <v>104</v>
      </c>
      <c r="U16" s="10">
        <v>50</v>
      </c>
      <c r="V16" s="10">
        <v>10000</v>
      </c>
      <c r="W16" s="10">
        <v>240</v>
      </c>
      <c r="X16" s="10">
        <v>4</v>
      </c>
    </row>
    <row r="17" spans="1:24" ht="20" customHeight="1" x14ac:dyDescent="0.35">
      <c r="A17" s="23" t="s">
        <v>124</v>
      </c>
      <c r="B17" s="23" t="s">
        <v>36</v>
      </c>
      <c r="C17" s="23" t="s">
        <v>27</v>
      </c>
      <c r="D17" s="5">
        <v>1</v>
      </c>
      <c r="E17" s="23" t="s">
        <v>60</v>
      </c>
      <c r="F17" s="23" t="s">
        <v>100</v>
      </c>
      <c r="G17" s="23" t="s">
        <v>106</v>
      </c>
      <c r="H17" s="5">
        <v>1</v>
      </c>
      <c r="I17" s="5">
        <v>5</v>
      </c>
      <c r="J17" s="5">
        <v>31</v>
      </c>
      <c r="K17" s="5">
        <v>1</v>
      </c>
      <c r="L17" s="5">
        <v>2</v>
      </c>
      <c r="M17" s="5">
        <v>28</v>
      </c>
      <c r="N17" s="5">
        <v>0</v>
      </c>
      <c r="O17" s="5">
        <v>0</v>
      </c>
      <c r="P17" s="5">
        <v>0</v>
      </c>
      <c r="Q17" s="5">
        <v>2</v>
      </c>
      <c r="R17" s="5">
        <v>30235</v>
      </c>
      <c r="S17" s="5">
        <v>123</v>
      </c>
      <c r="T17" s="23" t="s">
        <v>109</v>
      </c>
      <c r="U17" s="5">
        <v>32</v>
      </c>
      <c r="V17" s="5">
        <v>30000</v>
      </c>
      <c r="W17" s="5">
        <v>235</v>
      </c>
      <c r="X17" s="5">
        <v>2</v>
      </c>
    </row>
    <row r="18" spans="1:24" ht="20" customHeight="1" x14ac:dyDescent="0.35">
      <c r="A18" s="25" t="s">
        <v>125</v>
      </c>
      <c r="B18" s="25" t="s">
        <v>36</v>
      </c>
      <c r="C18" s="25" t="s">
        <v>27</v>
      </c>
      <c r="D18" s="10">
        <v>2</v>
      </c>
      <c r="E18" s="25" t="s">
        <v>61</v>
      </c>
      <c r="F18" s="25" t="s">
        <v>100</v>
      </c>
      <c r="G18" s="25" t="s">
        <v>106</v>
      </c>
      <c r="H18" s="10">
        <v>1</v>
      </c>
      <c r="I18" s="10">
        <v>5</v>
      </c>
      <c r="J18" s="10">
        <v>31</v>
      </c>
      <c r="K18" s="10">
        <v>1</v>
      </c>
      <c r="L18" s="10">
        <v>2</v>
      </c>
      <c r="M18" s="10">
        <v>28</v>
      </c>
      <c r="N18" s="10">
        <v>0</v>
      </c>
      <c r="O18" s="10">
        <v>0</v>
      </c>
      <c r="P18" s="10">
        <v>0</v>
      </c>
      <c r="Q18" s="10">
        <v>2</v>
      </c>
      <c r="R18" s="10">
        <v>30221</v>
      </c>
      <c r="S18" s="10">
        <v>99</v>
      </c>
      <c r="T18" s="25" t="s">
        <v>109</v>
      </c>
      <c r="U18" s="10">
        <v>32</v>
      </c>
      <c r="V18" s="10">
        <v>30000</v>
      </c>
      <c r="W18" s="10">
        <v>221</v>
      </c>
      <c r="X18" s="10">
        <v>2</v>
      </c>
    </row>
    <row r="19" spans="1:24" ht="20" customHeight="1" x14ac:dyDescent="0.35">
      <c r="A19" s="23" t="s">
        <v>126</v>
      </c>
      <c r="B19" s="23" t="s">
        <v>39</v>
      </c>
      <c r="C19" s="23" t="s">
        <v>28</v>
      </c>
      <c r="D19" s="5">
        <v>2</v>
      </c>
      <c r="E19" s="23" t="s">
        <v>62</v>
      </c>
      <c r="F19" s="23" t="s">
        <v>100</v>
      </c>
      <c r="G19" s="23" t="s">
        <v>106</v>
      </c>
      <c r="H19" s="5">
        <v>1</v>
      </c>
      <c r="I19" s="5">
        <v>54</v>
      </c>
      <c r="J19" s="5">
        <v>54</v>
      </c>
      <c r="K19" s="5">
        <v>1</v>
      </c>
      <c r="L19" s="5">
        <v>53</v>
      </c>
      <c r="M19" s="5">
        <v>0</v>
      </c>
      <c r="N19" s="5">
        <v>0</v>
      </c>
      <c r="O19" s="5">
        <v>0</v>
      </c>
      <c r="P19" s="5">
        <v>0</v>
      </c>
      <c r="Q19" s="5">
        <v>53</v>
      </c>
      <c r="R19" s="5">
        <v>10222</v>
      </c>
      <c r="S19" s="5">
        <v>3</v>
      </c>
      <c r="T19" s="23"/>
      <c r="U19" s="5">
        <v>108</v>
      </c>
      <c r="V19" s="5">
        <v>10000</v>
      </c>
      <c r="W19" s="5">
        <v>222</v>
      </c>
      <c r="X19" s="5">
        <v>0</v>
      </c>
    </row>
    <row r="20" spans="1:24" ht="20" customHeight="1" x14ac:dyDescent="0.35">
      <c r="A20" s="25" t="s">
        <v>127</v>
      </c>
      <c r="B20" s="25" t="s">
        <v>36</v>
      </c>
      <c r="C20" s="25" t="s">
        <v>28</v>
      </c>
      <c r="D20" s="10">
        <v>2</v>
      </c>
      <c r="E20" s="25" t="s">
        <v>63</v>
      </c>
      <c r="F20" s="25" t="s">
        <v>100</v>
      </c>
      <c r="G20" s="25" t="s">
        <v>106</v>
      </c>
      <c r="H20" s="10">
        <v>1</v>
      </c>
      <c r="I20" s="10">
        <v>5</v>
      </c>
      <c r="J20" s="10">
        <v>6</v>
      </c>
      <c r="K20" s="10">
        <v>1</v>
      </c>
      <c r="L20" s="10">
        <v>4</v>
      </c>
      <c r="M20" s="10">
        <v>0</v>
      </c>
      <c r="N20" s="10">
        <v>1</v>
      </c>
      <c r="O20" s="10">
        <v>0</v>
      </c>
      <c r="P20" s="10">
        <v>0</v>
      </c>
      <c r="Q20" s="10">
        <v>4</v>
      </c>
      <c r="R20" s="10">
        <v>30278</v>
      </c>
      <c r="S20" s="10">
        <v>5</v>
      </c>
      <c r="T20" s="25"/>
      <c r="U20" s="10">
        <v>11</v>
      </c>
      <c r="V20" s="10">
        <v>30000</v>
      </c>
      <c r="W20" s="10">
        <v>278</v>
      </c>
      <c r="X20" s="10">
        <v>0</v>
      </c>
    </row>
    <row r="21" spans="1:24" ht="20" customHeight="1" x14ac:dyDescent="0.35">
      <c r="A21" s="23" t="s">
        <v>128</v>
      </c>
      <c r="B21" s="23" t="s">
        <v>38</v>
      </c>
      <c r="C21" s="23" t="s">
        <v>27</v>
      </c>
      <c r="D21" s="5">
        <v>1</v>
      </c>
      <c r="E21" s="23" t="s">
        <v>64</v>
      </c>
      <c r="F21" s="23" t="s">
        <v>100</v>
      </c>
      <c r="G21" s="23" t="s">
        <v>106</v>
      </c>
      <c r="H21" s="5">
        <v>1</v>
      </c>
      <c r="I21" s="5">
        <v>9</v>
      </c>
      <c r="J21" s="5">
        <v>12</v>
      </c>
      <c r="K21" s="5">
        <v>1</v>
      </c>
      <c r="L21" s="5">
        <v>7</v>
      </c>
      <c r="M21" s="5">
        <v>4</v>
      </c>
      <c r="N21" s="5">
        <v>0</v>
      </c>
      <c r="O21" s="5">
        <v>0</v>
      </c>
      <c r="P21" s="5">
        <v>0</v>
      </c>
      <c r="Q21" s="5">
        <v>7</v>
      </c>
      <c r="R21" s="5">
        <v>10230</v>
      </c>
      <c r="S21" s="5">
        <v>976</v>
      </c>
      <c r="T21" s="23" t="s">
        <v>122</v>
      </c>
      <c r="U21" s="5">
        <v>13</v>
      </c>
      <c r="V21" s="5">
        <v>10000</v>
      </c>
      <c r="W21" s="5">
        <v>230</v>
      </c>
      <c r="X21" s="5">
        <v>1</v>
      </c>
    </row>
    <row r="22" spans="1:24" ht="20" customHeight="1" x14ac:dyDescent="0.35">
      <c r="A22" s="25" t="s">
        <v>129</v>
      </c>
      <c r="B22" s="25" t="s">
        <v>39</v>
      </c>
      <c r="C22" s="25" t="s">
        <v>27</v>
      </c>
      <c r="D22" s="10">
        <v>2</v>
      </c>
      <c r="E22" s="25" t="s">
        <v>65</v>
      </c>
      <c r="F22" s="25" t="s">
        <v>100</v>
      </c>
      <c r="G22" s="25" t="s">
        <v>106</v>
      </c>
      <c r="H22" s="10">
        <v>1</v>
      </c>
      <c r="I22" s="10">
        <v>54</v>
      </c>
      <c r="J22" s="10">
        <v>12</v>
      </c>
      <c r="K22" s="10">
        <v>1</v>
      </c>
      <c r="L22" s="10">
        <v>11</v>
      </c>
      <c r="M22" s="10">
        <v>0</v>
      </c>
      <c r="N22" s="10">
        <v>0</v>
      </c>
      <c r="O22" s="10">
        <v>0</v>
      </c>
      <c r="P22" s="10">
        <v>0</v>
      </c>
      <c r="Q22" s="10">
        <v>11</v>
      </c>
      <c r="R22" s="10">
        <v>10218</v>
      </c>
      <c r="S22" s="10">
        <v>744</v>
      </c>
      <c r="T22" s="25" t="s">
        <v>111</v>
      </c>
      <c r="U22" s="10">
        <v>13</v>
      </c>
      <c r="V22" s="10">
        <v>10000</v>
      </c>
      <c r="W22" s="10">
        <v>218</v>
      </c>
      <c r="X22" s="10">
        <v>42</v>
      </c>
    </row>
    <row r="23" spans="1:24" ht="20" customHeight="1" x14ac:dyDescent="0.35">
      <c r="A23" s="23" t="s">
        <v>130</v>
      </c>
      <c r="B23" s="23" t="s">
        <v>39</v>
      </c>
      <c r="C23" s="23" t="s">
        <v>27</v>
      </c>
      <c r="D23" s="5">
        <v>3</v>
      </c>
      <c r="E23" s="23" t="s">
        <v>66</v>
      </c>
      <c r="F23" s="23" t="s">
        <v>100</v>
      </c>
      <c r="G23" s="23" t="s">
        <v>106</v>
      </c>
      <c r="H23" s="5">
        <v>2</v>
      </c>
      <c r="I23" s="5">
        <v>54</v>
      </c>
      <c r="J23" s="5">
        <v>12</v>
      </c>
      <c r="K23" s="5">
        <v>1</v>
      </c>
      <c r="L23" s="5">
        <v>11</v>
      </c>
      <c r="M23" s="5">
        <v>0</v>
      </c>
      <c r="N23" s="5">
        <v>0</v>
      </c>
      <c r="O23" s="5">
        <v>0</v>
      </c>
      <c r="P23" s="5">
        <v>0</v>
      </c>
      <c r="Q23" s="5">
        <v>11</v>
      </c>
      <c r="R23" s="5">
        <v>10225</v>
      </c>
      <c r="S23" s="5">
        <v>982</v>
      </c>
      <c r="T23" s="23" t="s">
        <v>131</v>
      </c>
      <c r="U23" s="5">
        <v>13</v>
      </c>
      <c r="V23" s="5">
        <v>10000</v>
      </c>
      <c r="W23" s="5">
        <v>225</v>
      </c>
      <c r="X23" s="5">
        <v>41</v>
      </c>
    </row>
    <row r="24" spans="1:24" ht="20" customHeight="1" x14ac:dyDescent="0.35">
      <c r="A24" s="25" t="s">
        <v>132</v>
      </c>
      <c r="B24" s="25" t="s">
        <v>40</v>
      </c>
      <c r="C24" s="25" t="s">
        <v>27</v>
      </c>
      <c r="D24" s="10">
        <v>1</v>
      </c>
      <c r="E24" s="25" t="s">
        <v>67</v>
      </c>
      <c r="F24" s="25" t="s">
        <v>100</v>
      </c>
      <c r="G24" s="25" t="s">
        <v>101</v>
      </c>
      <c r="H24" s="10">
        <v>2</v>
      </c>
      <c r="I24" s="10">
        <v>54</v>
      </c>
      <c r="J24" s="10">
        <v>10</v>
      </c>
      <c r="K24" s="10">
        <v>1</v>
      </c>
      <c r="L24" s="10">
        <v>9</v>
      </c>
      <c r="M24" s="10">
        <v>0</v>
      </c>
      <c r="N24" s="10">
        <v>0</v>
      </c>
      <c r="O24" s="10">
        <v>0</v>
      </c>
      <c r="P24" s="10">
        <v>0</v>
      </c>
      <c r="Q24" s="10">
        <v>9</v>
      </c>
      <c r="R24" s="10">
        <v>10216</v>
      </c>
      <c r="S24" s="10">
        <v>1060</v>
      </c>
      <c r="T24" s="25" t="s">
        <v>119</v>
      </c>
      <c r="U24" s="10">
        <v>11</v>
      </c>
      <c r="V24" s="10">
        <v>10000</v>
      </c>
      <c r="W24" s="10">
        <v>216</v>
      </c>
      <c r="X24" s="10">
        <v>43</v>
      </c>
    </row>
    <row r="25" spans="1:24" ht="20" customHeight="1" x14ac:dyDescent="0.35">
      <c r="A25" s="23" t="s">
        <v>133</v>
      </c>
      <c r="B25" s="23" t="s">
        <v>38</v>
      </c>
      <c r="C25" s="23" t="s">
        <v>28</v>
      </c>
      <c r="D25" s="5">
        <v>3</v>
      </c>
      <c r="E25" s="23" t="s">
        <v>68</v>
      </c>
      <c r="F25" s="23" t="s">
        <v>100</v>
      </c>
      <c r="G25" s="23" t="s">
        <v>106</v>
      </c>
      <c r="H25" s="5">
        <v>1</v>
      </c>
      <c r="I25" s="5">
        <v>9</v>
      </c>
      <c r="J25" s="5">
        <v>9</v>
      </c>
      <c r="K25" s="5">
        <v>1</v>
      </c>
      <c r="L25" s="5">
        <v>8</v>
      </c>
      <c r="M25" s="5">
        <v>0</v>
      </c>
      <c r="N25" s="5">
        <v>0</v>
      </c>
      <c r="O25" s="5">
        <v>0</v>
      </c>
      <c r="P25" s="5">
        <v>0</v>
      </c>
      <c r="Q25" s="5">
        <v>8</v>
      </c>
      <c r="R25" s="5">
        <v>10301</v>
      </c>
      <c r="S25" s="5">
        <v>5</v>
      </c>
      <c r="T25" s="23"/>
      <c r="U25" s="5">
        <v>18</v>
      </c>
      <c r="V25" s="5">
        <v>10001</v>
      </c>
      <c r="W25" s="5">
        <v>300</v>
      </c>
      <c r="X25" s="5">
        <v>0</v>
      </c>
    </row>
    <row r="26" spans="1:24" ht="20" customHeight="1" x14ac:dyDescent="0.35">
      <c r="A26" s="25" t="s">
        <v>134</v>
      </c>
      <c r="B26" s="25" t="s">
        <v>40</v>
      </c>
      <c r="C26" s="25" t="s">
        <v>27</v>
      </c>
      <c r="D26" s="10">
        <v>2</v>
      </c>
      <c r="E26" s="25" t="s">
        <v>69</v>
      </c>
      <c r="F26" s="25" t="s">
        <v>100</v>
      </c>
      <c r="G26" s="25" t="s">
        <v>101</v>
      </c>
      <c r="H26" s="10">
        <v>2</v>
      </c>
      <c r="I26" s="10">
        <v>54</v>
      </c>
      <c r="J26" s="10">
        <v>10</v>
      </c>
      <c r="K26" s="10">
        <v>1</v>
      </c>
      <c r="L26" s="10">
        <v>9</v>
      </c>
      <c r="M26" s="10">
        <v>0</v>
      </c>
      <c r="N26" s="10">
        <v>0</v>
      </c>
      <c r="O26" s="10">
        <v>0</v>
      </c>
      <c r="P26" s="10">
        <v>0</v>
      </c>
      <c r="Q26" s="10">
        <v>9</v>
      </c>
      <c r="R26" s="10">
        <v>10220</v>
      </c>
      <c r="S26" s="10">
        <v>1017</v>
      </c>
      <c r="T26" s="25" t="s">
        <v>119</v>
      </c>
      <c r="U26" s="10">
        <v>11</v>
      </c>
      <c r="V26" s="10">
        <v>10000</v>
      </c>
      <c r="W26" s="10">
        <v>220</v>
      </c>
      <c r="X26" s="10">
        <v>43</v>
      </c>
    </row>
    <row r="27" spans="1:24" ht="20" customHeight="1" x14ac:dyDescent="0.35">
      <c r="A27" s="23" t="s">
        <v>135</v>
      </c>
      <c r="B27" s="23" t="s">
        <v>37</v>
      </c>
      <c r="C27" s="23" t="s">
        <v>28</v>
      </c>
      <c r="D27" s="5">
        <v>1</v>
      </c>
      <c r="E27" s="23" t="s">
        <v>70</v>
      </c>
      <c r="F27" s="23" t="s">
        <v>100</v>
      </c>
      <c r="G27" s="23" t="s">
        <v>106</v>
      </c>
      <c r="H27" s="5">
        <v>1</v>
      </c>
      <c r="I27" s="5">
        <v>5</v>
      </c>
      <c r="J27" s="5">
        <v>5</v>
      </c>
      <c r="K27" s="5">
        <v>1</v>
      </c>
      <c r="L27" s="5">
        <v>4</v>
      </c>
      <c r="M27" s="5">
        <v>0</v>
      </c>
      <c r="N27" s="5">
        <v>0</v>
      </c>
      <c r="O27" s="5">
        <v>0</v>
      </c>
      <c r="P27" s="5">
        <v>0</v>
      </c>
      <c r="Q27" s="5">
        <v>4</v>
      </c>
      <c r="R27" s="5">
        <v>211</v>
      </c>
      <c r="S27" s="5">
        <v>2</v>
      </c>
      <c r="T27" s="23"/>
      <c r="U27" s="5">
        <v>10</v>
      </c>
      <c r="V27" s="5">
        <v>0</v>
      </c>
      <c r="W27" s="5">
        <v>211</v>
      </c>
      <c r="X27" s="5">
        <v>0</v>
      </c>
    </row>
    <row r="28" spans="1:24" ht="20" customHeight="1" x14ac:dyDescent="0.35">
      <c r="A28" s="25" t="s">
        <v>136</v>
      </c>
      <c r="B28" s="25" t="s">
        <v>37</v>
      </c>
      <c r="C28" s="25" t="s">
        <v>28</v>
      </c>
      <c r="D28" s="10">
        <v>2</v>
      </c>
      <c r="E28" s="25" t="s">
        <v>71</v>
      </c>
      <c r="F28" s="25" t="s">
        <v>100</v>
      </c>
      <c r="G28" s="25" t="s">
        <v>106</v>
      </c>
      <c r="H28" s="10">
        <v>1</v>
      </c>
      <c r="I28" s="10">
        <v>5</v>
      </c>
      <c r="J28" s="10">
        <v>5</v>
      </c>
      <c r="K28" s="10">
        <v>1</v>
      </c>
      <c r="L28" s="10">
        <v>4</v>
      </c>
      <c r="M28" s="10">
        <v>0</v>
      </c>
      <c r="N28" s="10">
        <v>0</v>
      </c>
      <c r="O28" s="10">
        <v>0</v>
      </c>
      <c r="P28" s="10">
        <v>0</v>
      </c>
      <c r="Q28" s="10">
        <v>4</v>
      </c>
      <c r="R28" s="10">
        <v>222</v>
      </c>
      <c r="S28" s="10">
        <v>2</v>
      </c>
      <c r="T28" s="25"/>
      <c r="U28" s="10">
        <v>10</v>
      </c>
      <c r="V28" s="10">
        <v>0</v>
      </c>
      <c r="W28" s="10">
        <v>222</v>
      </c>
      <c r="X28" s="10">
        <v>0</v>
      </c>
    </row>
    <row r="29" spans="1:24" ht="20" customHeight="1" x14ac:dyDescent="0.35">
      <c r="A29" s="23" t="s">
        <v>137</v>
      </c>
      <c r="B29" s="23" t="s">
        <v>37</v>
      </c>
      <c r="C29" s="23" t="s">
        <v>28</v>
      </c>
      <c r="D29" s="5">
        <v>3</v>
      </c>
      <c r="E29" s="23" t="s">
        <v>72</v>
      </c>
      <c r="F29" s="23" t="s">
        <v>100</v>
      </c>
      <c r="G29" s="23" t="s">
        <v>106</v>
      </c>
      <c r="H29" s="5">
        <v>1</v>
      </c>
      <c r="I29" s="5">
        <v>5</v>
      </c>
      <c r="J29" s="5">
        <v>5</v>
      </c>
      <c r="K29" s="5">
        <v>1</v>
      </c>
      <c r="L29" s="5">
        <v>4</v>
      </c>
      <c r="M29" s="5">
        <v>0</v>
      </c>
      <c r="N29" s="5">
        <v>0</v>
      </c>
      <c r="O29" s="5">
        <v>0</v>
      </c>
      <c r="P29" s="5">
        <v>0</v>
      </c>
      <c r="Q29" s="5">
        <v>4</v>
      </c>
      <c r="R29" s="5">
        <v>217</v>
      </c>
      <c r="S29" s="5">
        <v>4</v>
      </c>
      <c r="T29" s="23"/>
      <c r="U29" s="5">
        <v>10</v>
      </c>
      <c r="V29" s="5">
        <v>0</v>
      </c>
      <c r="W29" s="5">
        <v>217</v>
      </c>
      <c r="X29" s="5">
        <v>0</v>
      </c>
    </row>
    <row r="30" spans="1:24" ht="20" customHeight="1" x14ac:dyDescent="0.35">
      <c r="A30" s="25" t="s">
        <v>138</v>
      </c>
      <c r="B30" s="25" t="s">
        <v>37</v>
      </c>
      <c r="C30" s="25" t="s">
        <v>27</v>
      </c>
      <c r="D30" s="10">
        <v>1</v>
      </c>
      <c r="E30" s="25" t="s">
        <v>73</v>
      </c>
      <c r="F30" s="25" t="s">
        <v>100</v>
      </c>
      <c r="G30" s="25" t="s">
        <v>106</v>
      </c>
      <c r="H30" s="10">
        <v>1</v>
      </c>
      <c r="I30" s="10">
        <v>5</v>
      </c>
      <c r="J30" s="10">
        <v>2</v>
      </c>
      <c r="K30" s="10">
        <v>1</v>
      </c>
      <c r="L30" s="10">
        <v>1</v>
      </c>
      <c r="M30" s="10">
        <v>0</v>
      </c>
      <c r="N30" s="10">
        <v>0</v>
      </c>
      <c r="O30" s="10">
        <v>0</v>
      </c>
      <c r="P30" s="10">
        <v>0</v>
      </c>
      <c r="Q30" s="10">
        <v>1</v>
      </c>
      <c r="R30" s="10">
        <v>216</v>
      </c>
      <c r="S30" s="10">
        <v>632</v>
      </c>
      <c r="T30" s="25" t="s">
        <v>114</v>
      </c>
      <c r="U30" s="10">
        <v>3</v>
      </c>
      <c r="V30" s="10">
        <v>0</v>
      </c>
      <c r="W30" s="10">
        <v>216</v>
      </c>
      <c r="X30" s="10">
        <v>3</v>
      </c>
    </row>
    <row r="31" spans="1:24" ht="20" customHeight="1" x14ac:dyDescent="0.35">
      <c r="A31" s="23" t="s">
        <v>139</v>
      </c>
      <c r="B31" s="23" t="s">
        <v>37</v>
      </c>
      <c r="C31" s="23" t="s">
        <v>27</v>
      </c>
      <c r="D31" s="5">
        <v>2</v>
      </c>
      <c r="E31" s="23" t="s">
        <v>74</v>
      </c>
      <c r="F31" s="23" t="s">
        <v>100</v>
      </c>
      <c r="G31" s="23" t="s">
        <v>106</v>
      </c>
      <c r="H31" s="5">
        <v>1</v>
      </c>
      <c r="I31" s="5">
        <v>5</v>
      </c>
      <c r="J31" s="5">
        <v>2</v>
      </c>
      <c r="K31" s="5">
        <v>1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1</v>
      </c>
      <c r="R31" s="5">
        <v>204</v>
      </c>
      <c r="S31" s="5">
        <v>629</v>
      </c>
      <c r="T31" s="23" t="s">
        <v>114</v>
      </c>
      <c r="U31" s="5">
        <v>3</v>
      </c>
      <c r="V31" s="5">
        <v>0</v>
      </c>
      <c r="W31" s="5">
        <v>204</v>
      </c>
      <c r="X31" s="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 Dashboard</vt:lpstr>
      <vt:lpstr>Request Breakdown</vt:lpstr>
      <vt:lpstr>Version Gaps</vt:lpstr>
      <vt:lpstr>All Run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Teryn Guzman</cp:lastModifiedBy>
  <dcterms:created xsi:type="dcterms:W3CDTF">2026-10-27T10:03:35Z</dcterms:created>
  <dcterms:modified xsi:type="dcterms:W3CDTF">2026-10-27T10:13:24Z</dcterms:modified>
</cp:coreProperties>
</file>